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tabRatio="821" activeTab="1"/>
  </bookViews>
  <sheets>
    <sheet name="Cover" sheetId="97" r:id="rId1"/>
    <sheet name="Samples" sheetId="122" r:id="rId2"/>
    <sheet name="Test Report" sheetId="107" r:id="rId3"/>
  </sheets>
  <externalReferences>
    <externalReference r:id="rId4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<sst xmlns="http://schemas.openxmlformats.org/spreadsheetml/2006/main" count="386" uniqueCount="309">
  <si>
    <t>TEST CASE</t>
  </si>
  <si>
    <t>Version:</t>
  </si>
  <si>
    <t>Issue date:</t>
  </si>
  <si>
    <t>31/07/2007</t>
  </si>
  <si>
    <t>Project Name:</t>
  </si>
  <si>
    <t>Sameple project</t>
  </si>
  <si>
    <t>Project Code:</t>
  </si>
  <si>
    <t>UTEHY-SE01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</si>
  <si>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</si>
  <si>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</si>
  <si>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</si>
  <si>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</si>
  <si>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</si>
  <si>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</si>
  <si>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</si>
  <si>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</si>
  <si>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t>1.0</t>
  </si>
  <si>
    <t>First creation</t>
  </si>
  <si>
    <t>John Doe</t>
  </si>
  <si>
    <t>CR236 "Export all carrier choices"</t>
  </si>
  <si>
    <t>1.1</t>
  </si>
  <si>
    <t>Update testcase</t>
  </si>
  <si>
    <t>Jane Doe</t>
  </si>
  <si>
    <t>1.2</t>
  </si>
  <si>
    <t>Test Leader 01</t>
  </si>
  <si>
    <r>
      <rPr>
        <b/>
        <sz val="10"/>
        <rFont val="Tahoma"/>
        <charset val="134"/>
      </rPr>
      <t>System Name</t>
    </r>
    <r>
      <rPr>
        <b/>
        <sz val="10"/>
        <rFont val="ＭＳ Ｐゴシック"/>
        <charset val="128"/>
      </rPr>
      <t>：</t>
    </r>
  </si>
  <si>
    <t>Sample Project</t>
  </si>
  <si>
    <r>
      <rPr>
        <b/>
        <sz val="10"/>
        <rFont val="Tahoma"/>
        <charset val="134"/>
      </rPr>
      <t>Module Code</t>
    </r>
    <r>
      <rPr>
        <b/>
        <sz val="10"/>
        <rFont val="MS Gothic"/>
        <charset val="134"/>
      </rPr>
      <t>：</t>
    </r>
  </si>
  <si>
    <t>CR100 - Export to excel</t>
  </si>
  <si>
    <t>Test requirement:</t>
  </si>
  <si>
    <t xml:space="preserve">CR1 - 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</si>
  <si>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</si>
  <si>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</si>
  <si>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</si>
  <si>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</si>
  <si>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</si>
  <si>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</si>
  <si>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</si>
  <si>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Results</t>
  </si>
  <si>
    <t>Actual Results</t>
  </si>
  <si>
    <t>Test date</t>
  </si>
  <si>
    <t>Status</t>
  </si>
  <si>
    <t>Note</t>
  </si>
  <si>
    <t>1. Check add role "CanExportAllCarrierChoises": This will be typically set for System users only</t>
  </si>
  <si>
    <t>TC1</t>
  </si>
  <si>
    <t>kiểm tra trang quản lý hồ sơ cá nhân có lấy dữ liệu database</t>
  </si>
  <si>
    <t>1. truy cập vào trang profile</t>
  </si>
  <si>
    <t>hiển thị thông tin người dùng đầy đủ</t>
  </si>
  <si>
    <t>TC2</t>
  </si>
  <si>
    <t>Cập nhật thông tin cá nhân hợp lệ</t>
  </si>
  <si>
    <t>1. Đổi Họ tên. 2. Bấm Cập nhật</t>
  </si>
  <si>
    <t>thông báo đổi thông tin thành công
cập nhật thông tin sửa đổi xuống database</t>
  </si>
  <si>
    <t>TC3</t>
  </si>
  <si>
    <t>Đổi mật khẩu trong Profile</t>
  </si>
  <si>
    <t>1. Nhập pass cũ đúng. 2. Nhập pass mới. 3. Lưu</t>
  </si>
  <si>
    <t>thông báo đổi mk thành công
cập nhật thông tin sửa đổi xuống database</t>
  </si>
  <si>
    <t>TC4</t>
  </si>
  <si>
    <t>Đổi mật khẩu sai pass cũ</t>
  </si>
  <si>
    <t>1. Nhập pass cũ sai. 2. Nhập pass mới. 3. Lưu</t>
  </si>
  <si>
    <t>Báo lỗi mật khẩu cũ không đúng</t>
  </si>
  <si>
    <t>TC5</t>
  </si>
  <si>
    <t>1. Nhập pass cũ sai. 2. Nhập pass mới. 4. Lưu</t>
  </si>
  <si>
    <t>TC6</t>
  </si>
  <si>
    <t>Hiển thị danh sách sân nổi bật</t>
  </si>
  <si>
    <t>1. Truy cập Trang chủ</t>
  </si>
  <si>
    <t>Hiển thị đủ sân Bóng đá, Cầu lông, Tennis nổi bật</t>
  </si>
  <si>
    <t>TC7</t>
  </si>
  <si>
    <t>Kiểm tra link Giới thiệu</t>
  </si>
  <si>
    <t>1. Bấm vào link Giới thiệu</t>
  </si>
  <si>
    <t>Chuyển sang trang /gioi-thieu</t>
  </si>
  <si>
    <t>TC8</t>
  </si>
  <si>
    <t>Kiểm tra link Điều khoản</t>
  </si>
  <si>
    <t>2. Bấm vào link điều khoản</t>
  </si>
  <si>
    <t>Chuyển sang trang điều khoản</t>
  </si>
  <si>
    <t>TC9</t>
  </si>
  <si>
    <t>Hiển thị chi tiết sân</t>
  </si>
  <si>
    <t>1. Bấm vào 1 sân từ kết quả tìm kiếm</t>
  </si>
  <si>
    <t>Hiện Hình ảnh, Mô tả, Giá, Đánh giá, Bảng lịch trống</t>
  </si>
  <si>
    <t>TC10</t>
  </si>
  <si>
    <t>Bảo mật mật khẩu</t>
  </si>
  <si>
    <t>1. Xem DB user</t>
  </si>
  <si>
    <t>Mật khẩu phải được mã hóa (Hash), không lưu plaintext</t>
  </si>
  <si>
    <t>TC11</t>
  </si>
  <si>
    <t>Truy cập Admin khi là Customer</t>
  </si>
  <si>
    <t>1. Gõ URL /admin/manage_san trên trình duyệt</t>
  </si>
  <si>
    <t>Bị chặn, đẩy về trang chủ hoặc báo lỗi 403</t>
  </si>
  <si>
    <t>TC12</t>
  </si>
  <si>
    <t>Truy cập chức năng khi chưa Login</t>
  </si>
  <si>
    <t>1. Gõ URL /detail_san.html để cố tình đặt lịch</t>
  </si>
  <si>
    <t>Yêu cầu chuyển hướng đến trang Login</t>
  </si>
  <si>
    <t>TC13</t>
  </si>
  <si>
    <t>Hiển thị trên Mobile</t>
  </si>
  <si>
    <t>1. Mở trang chủ bằng Chrome mobile view</t>
  </si>
  <si>
    <t>Giao diện không bị vỡ, menu co giãn tốt</t>
  </si>
  <si>
    <t>Check set Role CanExportAllCarrierChoices = True</t>
  </si>
  <si>
    <t>TC14</t>
  </si>
  <si>
    <t>Kiểm tra đăng ký với tất cả thông tin hợp lệ</t>
  </si>
  <si>
    <t>1:mở trình duyệt, đi đến trang đăng ký. 
2:Nhập họ tên : "Trần Quang Thiện". 
3: Nhập SĐT: "0374189277". 
4: Nhập Tên ĐN: "tranthien". 
5: Nhập Mật khẩu: "123456aA". 
6: Nhập lại MK: "123456aA". 
7: Click nút "Đăng ký".</t>
  </si>
  <si>
    <t>1.hệ thống chuyển về trang đăng nhập 2: hiển thị thông báo đăng ký thành công 3: dữ liệu tài khoản tranthien được lưu vào database</t>
  </si>
  <si>
    <t>TC15</t>
  </si>
  <si>
    <t>kiểm tra đăng nhập với tk hợp lệ</t>
  </si>
  <si>
    <t>1:mở trình duyệt, đi đến trang đăng nhập.
2: nhập tk, mk hợp lệ
3: nhấn nút đăng nhập</t>
  </si>
  <si>
    <t xml:space="preserve">1. hệ thống thông báo đăng nhập thành công và chuyển vào trang chủ </t>
  </si>
  <si>
    <t>TC16</t>
  </si>
  <si>
    <t>kiểm tra tính năng khôi phục mật khẩu</t>
  </si>
  <si>
    <t>1.nhập email/ sđt hợp lệ 
2. nhập otp hợp lệ
3. nhập mk mới
4. nhấn nút đổi mk</t>
  </si>
  <si>
    <t>1. hệ thống thông báo đổi mk thành công
2. hệ thống thay đổi dữ liệu mk mới trong database</t>
  </si>
  <si>
    <t>TC17</t>
  </si>
  <si>
    <t>Lọc sân theo Loại sân</t>
  </si>
  <si>
    <t>1. Chọn Loại sân là Tennis. 2. Bấm Lọc</t>
  </si>
  <si>
    <t>Chỉ hiển thị sân Tennis</t>
  </si>
  <si>
    <t>TC18</t>
  </si>
  <si>
    <t>Lọc sân theo Ngày giờ trống</t>
  </si>
  <si>
    <t>1. Chọn ngày mai, khung giờ 18h. 2. Bấm Lọc</t>
  </si>
  <si>
    <t>Chỉ hiển thị các sân chưa có ai đặt vào giờ đó</t>
  </si>
  <si>
    <t>TC19</t>
  </si>
  <si>
    <t>Kết hợp nhiều bộ lọc</t>
  </si>
  <si>
    <t>1. Lọc Tennis+ hôm nay + Khung giờ 15h-18h</t>
  </si>
  <si>
    <t>Hiển thị chính xác kết quả thỏa mãn cả 3 điều kiện</t>
  </si>
  <si>
    <t>TC20</t>
  </si>
  <si>
    <t>Chọn khung giờ hợp lệ</t>
  </si>
  <si>
    <t>1. Tại Bảng sân, chọn 1 khung giờ trống bấm đặt sân</t>
  </si>
  <si>
    <t>thông báo thành công và Hệ thống ghi nhận giờ bắt đầu - giờ kết thúc</t>
  </si>
  <si>
    <t>TC21</t>
  </si>
  <si>
    <t>Chọn khung giờ đã có người đặt</t>
  </si>
  <si>
    <t>1. Tại Bảng sân, chọn 2 khung giờ  đã có người đặt sân rồi bấm đặt sân</t>
  </si>
  <si>
    <t>thông báo thông báo sân đã có người đặt vui lòng chọn khung giờ khác. chặn không cho lưu xuống database</t>
  </si>
  <si>
    <t>TC22</t>
  </si>
  <si>
    <t>Xem lại thông tin đặt lịch</t>
  </si>
  <si>
    <t>đăng nhập vào trang lịch sử đặt lịch</t>
  </si>
  <si>
    <t>Hiển thị đúng tên sân, giờ đã chọn, tổng tiền</t>
  </si>
  <si>
    <t>TC23</t>
  </si>
  <si>
    <t>Thanh toán Tiền mặt tại quầy</t>
  </si>
  <si>
    <t>1. Chọn Tiền mặt. 2. Bấm Xác nhận Đặt sân</t>
  </si>
  <si>
    <t>Tạo đơn thành công, trạng thái 'Chờ nhận sân'</t>
  </si>
  <si>
    <t>TC24</t>
  </si>
  <si>
    <t>Hủy lịch trước giờ hợp lệ</t>
  </si>
  <si>
    <t>1. Chọn đơn hợp lệ. 2. Bấm Hủy lịch</t>
  </si>
  <si>
    <t>Xác nhận hủy thành công, trạng thái 'Đã hủy'</t>
  </si>
  <si>
    <t>TC25</t>
  </si>
  <si>
    <t>Hủy lịch sát giờ vi phạm quy định</t>
  </si>
  <si>
    <t>1. Chọn đơn sát giờ. 2. Cố gắng bấm Hủy</t>
  </si>
  <si>
    <t>Hệ thống chặn, báo 'Chỉ cho phép hủy trước X giờ'</t>
  </si>
  <si>
    <t>TC26</t>
  </si>
  <si>
    <t>Lọc lịch đặt theo ngày</t>
  </si>
  <si>
    <t>1. Dùng bộ lọc ngày chọn 1 ngày cụ thể</t>
  </si>
  <si>
    <t>Hiển thị danh sách đơn của ngày đó</t>
  </si>
  <si>
    <t>TC27</t>
  </si>
  <si>
    <t>Check-in đơn hàng hợp lệ</t>
  </si>
  <si>
    <t>1. Bấm nút Check-in ở đơn tương ứng</t>
  </si>
  <si>
    <t>Trạng thái đổi từ 'Chờ nhận sân' sang 'Đã nhận sân'</t>
  </si>
  <si>
    <t>TC28</t>
  </si>
  <si>
    <t>Lọc giao dịch theo ngày</t>
  </si>
  <si>
    <t>1. Chọn ngày cụ thể</t>
  </si>
  <si>
    <t>Chỉ hiện các đơn POS tạo trong ngày đó</t>
  </si>
  <si>
    <t>TC29</t>
  </si>
  <si>
    <t>Admin hiển thị Dashboard</t>
  </si>
  <si>
    <t>1. Vào Admin Dashboard</t>
  </si>
  <si>
    <t>Hiển thị biểu đồ doanh thu và thống kê tần suất</t>
  </si>
  <si>
    <t>TC30</t>
  </si>
  <si>
    <t>Admin có quyền Check-in</t>
  </si>
  <si>
    <t>1. Admin vào luồng Trực sân</t>
  </si>
  <si>
    <t>Admin xem được danh sách và Check-in</t>
  </si>
  <si>
    <t>TC31</t>
  </si>
  <si>
    <t>Admin có quyền POS</t>
  </si>
  <si>
    <t>1. Admin vào luồng POS</t>
  </si>
  <si>
    <t>Admin tạo được đơn hộ khách</t>
  </si>
  <si>
    <t>TC32</t>
  </si>
  <si>
    <t>Xem danh sách toàn bộ sân</t>
  </si>
  <si>
    <t>1. Vào /admin/manage_san</t>
  </si>
  <si>
    <t>Hiển thị bảng danh sách sân</t>
  </si>
  <si>
    <t>TC33</t>
  </si>
  <si>
    <t>Phân trang danh sách sân</t>
  </si>
  <si>
    <t>1. Kéo xuống cuối bảng</t>
  </si>
  <si>
    <t>Hiển thị phân trang, click trang 2 load đúng dữ liệu</t>
  </si>
  <si>
    <t>TC34</t>
  </si>
  <si>
    <t>Thêm sân mới hợp lệ</t>
  </si>
  <si>
    <t>1. Bấm Thêm sân mới. 2. Nhập tên không trùng, loại, giá. 3. Lưu</t>
  </si>
  <si>
    <t>Thêm sân thành công, hiển thị ở bảng</t>
  </si>
  <si>
    <t>Check set Role CanExportAllCarrierChoices = False</t>
  </si>
  <si>
    <t>TC35</t>
  </si>
  <si>
    <t>kiểm tra hệ thống chặn lỗi bỏ thống trường bắt buộc sđt</t>
  </si>
  <si>
    <t>1. đi tới trang đăng ký
2. nhập hộ tên, tên ĐN, mật khẩu hợp lệ
3. để trống ô số điện thoại 
4. click nút đăng ký</t>
  </si>
  <si>
    <t>1. hệ thống hiển thị thông báo lỗi thông báo bạn phải nhập sđt 2. nút đăng ký không có tác dụng 3. trỏ chuột vào ô nhập sđt và in đỏ ô đó lên</t>
  </si>
  <si>
    <t>TC36</t>
  </si>
  <si>
    <t>Kiểm tra hệ thống chặn lỗi khi 2 mật khẩu không khớp nhau.</t>
  </si>
  <si>
    <t>1: Đi tới trang Đăng ký.
2: Nhập Họ tên, SĐT, Tên ĐN hợp lệ.
3: Nhập Mật khẩu: "123456aA".
4: Nhập lại MK: "654321aA".
5: Click nút "Đăng ký".</t>
  </si>
  <si>
    <t>1. hệ thống chặn không lưu vào database
2. hiển thị thông báo lỗi mật khẩu nhập lại không khớp</t>
  </si>
  <si>
    <t>TC37</t>
  </si>
  <si>
    <t>kiểm tra hệ thống khi đăng ký mà có tên đăng nhập đã tồn tại ở hệ thống</t>
  </si>
  <si>
    <t>1. đi tới trang đăng 
2.nhập tên đăng nhập "Tranthien" đã có trên hệ thống
3. nhập họ tên,mk, sdt hợp lệ
3. click nút đăng ký</t>
  </si>
  <si>
    <t>1. hệ thống chặn không lưu vào database
2. hiển thị thông báo lỗi tên đăng nhập đã tồn tại trong hệ thống</t>
  </si>
  <si>
    <t>TC38</t>
  </si>
  <si>
    <t>kiểm tra hệ thống khi đăng ký nhập sdt không đủ 10 ký tự</t>
  </si>
  <si>
    <t>1. đi tới trang đăng ký
2. nhập hộ tên, tên ĐN, mật khẩu hợp lệ
3. nhập sdt "123"
4. click nút đăng ký</t>
  </si>
  <si>
    <t xml:space="preserve">1. hệ thống hiển thị thông báo vuii lòng nhập sđt hợp lệ
</t>
  </si>
  <si>
    <t>TC39</t>
  </si>
  <si>
    <t>kiểm tra hệ thống khi đăng ký nhập 10 ký tự chữ cái</t>
  </si>
  <si>
    <t>1. đi tới trang đăng ký
2. nhập hộ tên, tên ĐN, mật khẩu hợp lệ
3. nhập sdt "aaaaaaaaa"
4. click nút đăng ký</t>
  </si>
  <si>
    <t>1. hệ thống hiển thị thông báo lỗi vuii lòng nhập sđt thoại hợp lệ</t>
  </si>
  <si>
    <t>TC40</t>
  </si>
  <si>
    <t>kiểm tra hệ thống khi đăng nhập bằng tk mk sai</t>
  </si>
  <si>
    <t>1. đi tới trang đăng nhập
2. nhập tk mk chưa có trong hệ thống
3. nhấn nút đăng nhập</t>
  </si>
  <si>
    <t>1. hệ thống thông báo lỗi tk không hợp lệ vui lòng đăng ký or thử lại
2. hệ thống không cho đăng nhập</t>
  </si>
  <si>
    <t>TC41</t>
  </si>
  <si>
    <t>kiểm tra hệ thống đăng nhập mk có phân biệt in hoa</t>
  </si>
  <si>
    <t>1.đi tới đăng nhập 
2. nhập tk hợp lệ
3. nhập mk đúng với mk lưu trong hệ thống nhưng một cái viết hóa một cái viết thường</t>
  </si>
  <si>
    <t>1. hệ thống thông báo lỗi tk mk không hợp lệ vuii lòng thử lại
2. hệ thống không cho đăng nhập</t>
  </si>
  <si>
    <t>TC42</t>
  </si>
  <si>
    <t>kiểm tra hệ thống đăng nhập khi nhập sai quá nhiều lần</t>
  </si>
  <si>
    <t xml:space="preserve">1. đi tới đăng nhập
2. nhập tk không hợp lệ rồi nhấn nút đăng nhập 10 lần
</t>
  </si>
  <si>
    <t>1. hệ thống chặn đăng nhập 1 thời gian để ngăn chặn dò mk
2. hiển thị thông báo bạn đăng nhập sai quá nhiều lần vuii lòng thử lại sau</t>
  </si>
  <si>
    <t>TC43</t>
  </si>
  <si>
    <t>kiểm tra hệ thống khi đăng nhập bằng tk admin/staff/customer</t>
  </si>
  <si>
    <t>1. đi tới trang đăng nhập
2. nhập tk có role admin/staff/customer
3. nhấn đăng nhập</t>
  </si>
  <si>
    <t>1. hệ thống dẫn đến trang quản trị của admin/trực sân staff/ trang chủ</t>
  </si>
  <si>
    <t>TC44</t>
  </si>
  <si>
    <t>kiểm tra hệ thống khi nhập sai sdt/gmail</t>
  </si>
  <si>
    <t xml:space="preserve">1.đi tới trang khôi phục mật khẩu
2. nhập sdt chưa có đk tk
3.nhấn nút nhận otp </t>
  </si>
  <si>
    <t>1. hệ thống thông báo sdt chưa được đăng ký
2. hệ thống chặn không gửi otp</t>
  </si>
  <si>
    <t>TC45</t>
  </si>
  <si>
    <t>kiểm tra hệ thống khi nhập sai otp</t>
  </si>
  <si>
    <t>1.đi tới trang khôi phục mk
2. nhập sdt hợp lệ
nhập otp sai
3. nhập mk mới
4. nhấn nút đổi mk</t>
  </si>
  <si>
    <t>1.hệ thống thông báo mã otp sai hoặc hết hiệu lực vuii lòng thử lại
2. hệ thống chặn không cho đổi mk ở database</t>
  </si>
  <si>
    <t>TC46</t>
  </si>
  <si>
    <t>kiểm tra hệ thống khi nhập mk mới không đúng theo yêu cầu</t>
  </si>
  <si>
    <t>1.đi tới trang khôi phục mk
2. nhập sdt hợp lệ
nhập otp hợp lệ
3. nhập mk mới quá ngắn hoặc toàn ký tự số
4. nhấn nút đổi mk</t>
  </si>
  <si>
    <t>1.hệ thống thông báo mk mới không hợp lệ
2. hệ thống chặn không cho đổi mk ở database</t>
  </si>
  <si>
    <t>TC47</t>
  </si>
  <si>
    <t>kiểm tra hệ thống khi nhập mk mới trùng với mk cũ</t>
  </si>
  <si>
    <t>1.đi tới trang khôi phục mk
2. nhập sđt hợp lệ
3. nhập otp hợp lệ
4. nhập mk mới trùng mới mk tk cũ</t>
  </si>
  <si>
    <t>1. hệ thống thông báo lỗi mk mới trùng với mk cũ 
2. chặn không cho thay đổi</t>
  </si>
  <si>
    <t>TC48</t>
  </si>
  <si>
    <t>kiểm tra hệ thống khi bấm nút đăng xuất</t>
  </si>
  <si>
    <t>1.nhấn nút đăng xuát khi đang login</t>
  </si>
  <si>
    <t>1. hệ thống xóa session và đẩy về trang chủ</t>
  </si>
  <si>
    <t>TC49</t>
  </si>
  <si>
    <t>Không tìm thấy kết quả</t>
  </si>
  <si>
    <t>1. Nhập bộ lọc không có thực tế. 2. Bấm Lọc</t>
  </si>
  <si>
    <t>Hiển thị thông báo 'Không tìm thấy kết quả'</t>
  </si>
  <si>
    <t>TC50</t>
  </si>
  <si>
    <t>Ràng buộc thêm sân Tên duy nhất</t>
  </si>
  <si>
    <t>1. Bấm Thêm sân mới. 2. Nhập tên là Sân A. 3. Lưu</t>
  </si>
  <si>
    <t>Báo lỗi 'Tên sân đã tồn tại'</t>
  </si>
  <si>
    <t>TC51</t>
  </si>
  <si>
    <t>Thêm sân bỏ trống giá</t>
  </si>
  <si>
    <t>1. Nhập tên, bỏ trống giá. 2. Lưu</t>
  </si>
  <si>
    <t>Báo lỗi yêu cầu nhập giá</t>
  </si>
  <si>
    <t>TC52</t>
  </si>
  <si>
    <t>Sửa thông tin sân</t>
  </si>
  <si>
    <t>1. Chọn Sửa sân B. 2. Cập nhật Tên, Loại, Giá. 3. Lưu</t>
  </si>
  <si>
    <t>Thông tin sân B được cập nhật trong DB</t>
  </si>
  <si>
    <t>TC53</t>
  </si>
  <si>
    <t>Sửa tên sân thành tên đã tồn tại</t>
  </si>
  <si>
    <t>1. Chọn Sửa sân B. 2. Đổi tên thành Sân A. 3. Lưu</t>
  </si>
  <si>
    <t>TC54</t>
  </si>
  <si>
    <t>Xóa sân không có lịch đặt</t>
  </si>
  <si>
    <t>1. Chọn Xóa sân. 2. Xác nhận</t>
  </si>
  <si>
    <t>Xóa sân thành công khỏi danh sách</t>
  </si>
  <si>
    <t>TC55</t>
  </si>
  <si>
    <t>Xóa sân đang có khách đặt tương lai</t>
  </si>
  <si>
    <t>1. Chọn Xóa sân đã có lịch đặt. 2. Xác nhận</t>
  </si>
  <si>
    <t>Hệ thống báo lỗi 'Không được xóa sân đang có khách đặt lịch trong tương lai'</t>
  </si>
  <si>
    <t>TC56</t>
  </si>
  <si>
    <t>Xem danh sách tài khoản</t>
  </si>
  <si>
    <t>1. Vào Quản lý Người dùng</t>
  </si>
  <si>
    <t>Hiển thị toàn bộ user trong hệ thống</t>
  </si>
  <si>
    <t>TC57</t>
  </si>
  <si>
    <t>Khóa tài khoản (Ban user)</t>
  </si>
  <si>
    <t>1. Chọn Khóa tài khoản 1 user. 2. Xác nhận</t>
  </si>
  <si>
    <t>User bị đánh dấu Banned trong DB</t>
  </si>
  <si>
    <t>TC58</t>
  </si>
  <si>
    <t>Đặt 2 sân cùng lúc</t>
  </si>
  <si>
    <t>1. Cố gắng chọn 2 khung giờ của 2 sân khác nhau</t>
  </si>
  <si>
    <t>Kiểm tra xem hệ thống hỗ trợ giỏ hàng hay chỉ đặt 1 sân 1 lần</t>
  </si>
  <si>
    <t>TC59</t>
  </si>
  <si>
    <t>Check-in đơn quá hạn</t>
  </si>
  <si>
    <t>1. Tìm đơn của hôm qua chưa check-in</t>
  </si>
  <si>
    <t>Xử lý đúng logic (tự hủy hoặc không cho check-in)</t>
  </si>
  <si>
    <t>TC60</t>
  </si>
  <si>
    <t>Thêm hình ảnh cho sân</t>
  </si>
  <si>
    <t>1. Bấm Thêm sân. 2. Upload file ảnh. 3. Lưu</t>
  </si>
  <si>
    <t>Ảnh được lưu và hiển thị đúng trên Trang chủ</t>
  </si>
  <si>
    <t>TC61</t>
  </si>
  <si>
    <t>Upload file không phải ảnh</t>
  </si>
  <si>
    <t>1. Bấm Thêm sân. 2. Upload file .pdf</t>
  </si>
  <si>
    <t>Báo lỗi định dạng file không hỗ trợ</t>
  </si>
  <si>
    <t>TC62</t>
  </si>
  <si>
    <t>Đánh giá sân sau khi hoàn thành</t>
  </si>
  <si>
    <t>1. Vào lịch sử. 2. Bấm Đánh giá</t>
  </si>
  <si>
    <t>Lưu đánh giá và hiển thị ở Chi tiết sân</t>
  </si>
  <si>
    <t>TC63</t>
  </si>
  <si>
    <t>Nhập khoảng trắng ở Tên đăng nhập</t>
  </si>
  <si>
    <t>1. Nhập Tên đăng nhập có chứa dấu cách.</t>
  </si>
  <si>
    <t>Báo lỗi không hợp lệ (tùy logic hệ thống)</t>
  </si>
  <si>
    <t>TC64</t>
  </si>
  <si>
    <t>Hết hạn phiên làm việc (Timeout)</t>
  </si>
  <si>
    <t>1. Để tab không hoạt động trong X phút. 2. Click đặt sân</t>
  </si>
  <si>
    <t>Chuyển hướng bắt đăng nhập lại</t>
  </si>
  <si>
    <t>TEST REPORT</t>
  </si>
  <si>
    <t>Note:</t>
  </si>
  <si>
    <t>Date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</si>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</sst>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;@"/>
    <numFmt numFmtId="179" formatCode="0.000"/>
  </numFmts>
  <fonts count="40">
    <font>
      <sz val="11"/>
      <name val="ＭＳ Ｐゴシック"/>
      <charset val="128"/>
    </font>
    <font>
      <b/>
      <sz val="18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b/>
      <sz val="10"/>
      <color indexed="9"/>
      <name val="Tahoma"/>
      <charset val="134"/>
    </font>
    <font>
      <sz val="10"/>
      <name val="ＭＳ Ｐゴシック"/>
      <charset val="128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sz val="10"/>
      <color indexed="8"/>
      <name val="Tahoma"/>
      <charset val="134"/>
    </font>
    <font>
      <sz val="8"/>
      <color indexed="8"/>
      <name val="Tahoma"/>
      <charset val="134"/>
    </font>
    <font>
      <sz val="12"/>
      <color indexed="8"/>
      <name val="Tahoma"/>
      <charset val="134"/>
    </font>
    <font>
      <sz val="12"/>
      <name val="ＭＳ Ｐゴシック"/>
      <charset val="128"/>
    </font>
    <font>
      <b/>
      <sz val="12"/>
      <color indexed="9"/>
      <name val="Tahoma"/>
      <charset val="134"/>
    </font>
    <font>
      <b/>
      <sz val="10"/>
      <color indexed="8"/>
      <name val="Tahoma"/>
      <charset val="134"/>
    </font>
    <font>
      <sz val="10"/>
      <color indexed="10"/>
      <name val="Tahoma"/>
      <charset val="134"/>
    </font>
    <font>
      <sz val="11"/>
      <name val="Tahoma"/>
      <charset val="134"/>
    </font>
    <font>
      <b/>
      <sz val="10"/>
      <color indexed="6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ＭＳ ゴシック"/>
      <charset val="128"/>
    </font>
    <font>
      <b/>
      <sz val="10"/>
      <name val="ＭＳ Ｐゴシック"/>
      <charset val="128"/>
    </font>
    <font>
      <b/>
      <sz val="10"/>
      <name val="MS Gothic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3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39" applyNumberFormat="0" applyAlignment="0" applyProtection="0">
      <alignment vertical="center"/>
    </xf>
    <xf numFmtId="0" fontId="27" fillId="9" borderId="40" applyNumberFormat="0" applyAlignment="0" applyProtection="0">
      <alignment vertical="center"/>
    </xf>
    <xf numFmtId="0" fontId="28" fillId="9" borderId="39" applyNumberFormat="0" applyAlignment="0" applyProtection="0">
      <alignment vertical="center"/>
    </xf>
    <xf numFmtId="0" fontId="29" fillId="10" borderId="41" applyNumberFormat="0" applyAlignment="0" applyProtection="0">
      <alignment vertical="center"/>
    </xf>
    <xf numFmtId="0" fontId="30" fillId="0" borderId="42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0" fillId="0" borderId="0"/>
    <xf numFmtId="0" fontId="0" fillId="0" borderId="0" applyProtection="0"/>
    <xf numFmtId="0" fontId="37" fillId="0" borderId="0"/>
  </cellStyleXfs>
  <cellXfs count="141">
    <xf numFmtId="0" fontId="0" fillId="0" borderId="0" xfId="0"/>
    <xf numFmtId="0" fontId="0" fillId="0" borderId="0" xfId="0" applyAlignment="1">
      <alignment wrapText="1"/>
    </xf>
    <xf numFmtId="0" fontId="1" fillId="0" borderId="0" xfId="49" applyFont="1"/>
    <xf numFmtId="0" fontId="2" fillId="0" borderId="0" xfId="49" applyFont="1"/>
    <xf numFmtId="0" fontId="3" fillId="0" borderId="0" xfId="49" applyFont="1"/>
    <xf numFmtId="178" fontId="3" fillId="0" borderId="0" xfId="49" applyNumberFormat="1" applyFont="1"/>
    <xf numFmtId="0" fontId="3" fillId="0" borderId="0" xfId="0" applyFont="1"/>
    <xf numFmtId="178" fontId="3" fillId="0" borderId="1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4" fillId="2" borderId="8" xfId="0" applyFont="1" applyFill="1" applyBorder="1"/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vertical="top"/>
    </xf>
    <xf numFmtId="0" fontId="3" fillId="0" borderId="0" xfId="0" applyFont="1" applyBorder="1"/>
    <xf numFmtId="0" fontId="0" fillId="0" borderId="0" xfId="0" applyBorder="1"/>
    <xf numFmtId="0" fontId="2" fillId="3" borderId="0" xfId="50" applyFont="1" applyFill="1"/>
    <xf numFmtId="0" fontId="9" fillId="3" borderId="0" xfId="0" applyFont="1" applyFill="1" applyAlignment="1">
      <alignment horizontal="center" wrapText="1"/>
    </xf>
    <xf numFmtId="0" fontId="9" fillId="3" borderId="0" xfId="0" applyFont="1" applyFill="1" applyAlignment="1">
      <alignment wrapText="1"/>
    </xf>
    <xf numFmtId="0" fontId="9" fillId="3" borderId="0" xfId="0" applyFont="1" applyFill="1"/>
    <xf numFmtId="0" fontId="9" fillId="3" borderId="10" xfId="0" applyFont="1" applyFill="1" applyBorder="1" applyAlignment="1">
      <alignment horizontal="center" wrapText="1"/>
    </xf>
    <xf numFmtId="0" fontId="2" fillId="3" borderId="11" xfId="50" applyFont="1" applyFill="1" applyBorder="1" applyAlignment="1">
      <alignment horizontal="left" wrapText="1"/>
    </xf>
    <xf numFmtId="0" fontId="3" fillId="3" borderId="12" xfId="50" applyFont="1" applyFill="1" applyBorder="1" applyAlignment="1">
      <alignment horizontal="left" wrapText="1"/>
    </xf>
    <xf numFmtId="0" fontId="3" fillId="3" borderId="13" xfId="50" applyFont="1" applyFill="1" applyBorder="1" applyAlignment="1">
      <alignment horizontal="left" wrapText="1"/>
    </xf>
    <xf numFmtId="0" fontId="3" fillId="3" borderId="0" xfId="50" applyFont="1" applyFill="1" applyAlignment="1">
      <alignment horizontal="left" wrapText="1"/>
    </xf>
    <xf numFmtId="0" fontId="2" fillId="3" borderId="14" xfId="50" applyFont="1" applyFill="1" applyBorder="1" applyAlignment="1">
      <alignment horizontal="left" vertical="center" wrapText="1"/>
    </xf>
    <xf numFmtId="0" fontId="3" fillId="3" borderId="15" xfId="50" applyFont="1" applyFill="1" applyBorder="1" applyAlignment="1">
      <alignment horizontal="left" vertical="top" wrapText="1"/>
    </xf>
    <xf numFmtId="0" fontId="3" fillId="3" borderId="16" xfId="50" applyFont="1" applyFill="1" applyBorder="1" applyAlignment="1">
      <alignment horizontal="left" vertical="top" wrapText="1"/>
    </xf>
    <xf numFmtId="0" fontId="3" fillId="3" borderId="17" xfId="50" applyFont="1" applyFill="1" applyBorder="1" applyAlignment="1">
      <alignment horizontal="left" vertical="top" wrapText="1"/>
    </xf>
    <xf numFmtId="0" fontId="3" fillId="3" borderId="15" xfId="50" applyFont="1" applyFill="1" applyBorder="1" applyAlignment="1">
      <alignment horizontal="left" vertical="center" wrapText="1"/>
    </xf>
    <xf numFmtId="0" fontId="3" fillId="3" borderId="16" xfId="50" applyFont="1" applyFill="1" applyBorder="1" applyAlignment="1">
      <alignment horizontal="left" vertical="center" wrapText="1"/>
    </xf>
    <xf numFmtId="0" fontId="3" fillId="3" borderId="17" xfId="50" applyFont="1" applyFill="1" applyBorder="1" applyAlignment="1">
      <alignment horizontal="left" vertical="center" wrapText="1"/>
    </xf>
    <xf numFmtId="0" fontId="3" fillId="3" borderId="0" xfId="50" applyFont="1" applyFill="1" applyAlignment="1">
      <alignment horizontal="left" vertical="center" wrapText="1"/>
    </xf>
    <xf numFmtId="0" fontId="8" fillId="3" borderId="14" xfId="0" applyFont="1" applyFill="1" applyBorder="1" applyAlignment="1">
      <alignment horizontal="right"/>
    </xf>
    <xf numFmtId="0" fontId="8" fillId="3" borderId="18" xfId="0" applyFont="1" applyFill="1" applyBorder="1" applyAlignment="1">
      <alignment wrapText="1"/>
    </xf>
    <xf numFmtId="0" fontId="8" fillId="3" borderId="18" xfId="0" applyFont="1" applyFill="1" applyBorder="1" applyAlignment="1">
      <alignment horizontal="center" wrapText="1"/>
    </xf>
    <xf numFmtId="0" fontId="8" fillId="3" borderId="19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8" fillId="3" borderId="20" xfId="0" applyFont="1" applyFill="1" applyBorder="1" applyAlignment="1">
      <alignment horizontal="right"/>
    </xf>
    <xf numFmtId="0" fontId="8" fillId="3" borderId="21" xfId="0" applyFont="1" applyFill="1" applyBorder="1" applyAlignment="1">
      <alignment wrapText="1"/>
    </xf>
    <xf numFmtId="0" fontId="8" fillId="0" borderId="21" xfId="0" applyFont="1" applyBorder="1" applyAlignment="1">
      <alignment horizontal="center"/>
    </xf>
    <xf numFmtId="1" fontId="8" fillId="3" borderId="22" xfId="0" applyNumberFormat="1" applyFont="1" applyFill="1" applyBorder="1" applyAlignment="1">
      <alignment horizontal="center" wrapText="1"/>
    </xf>
    <xf numFmtId="1" fontId="8" fillId="3" borderId="0" xfId="0" applyNumberFormat="1" applyFont="1" applyFill="1" applyAlignment="1">
      <alignment horizontal="center" wrapText="1"/>
    </xf>
    <xf numFmtId="0" fontId="8" fillId="3" borderId="23" xfId="0" applyFont="1" applyFill="1" applyBorder="1" applyAlignment="1">
      <alignment horizontal="center"/>
    </xf>
    <xf numFmtId="0" fontId="4" fillId="4" borderId="24" xfId="50" applyFont="1" applyFill="1" applyBorder="1" applyAlignment="1">
      <alignment horizontal="center" vertical="center" wrapText="1"/>
    </xf>
    <xf numFmtId="0" fontId="4" fillId="4" borderId="24" xfId="50" applyFont="1" applyFill="1" applyBorder="1" applyAlignment="1">
      <alignment vertical="center" wrapText="1"/>
    </xf>
    <xf numFmtId="0" fontId="4" fillId="4" borderId="25" xfId="50" applyFont="1" applyFill="1" applyBorder="1" applyAlignment="1">
      <alignment horizontal="center" vertical="center" wrapText="1"/>
    </xf>
    <xf numFmtId="0" fontId="4" fillId="4" borderId="0" xfId="50" applyFont="1" applyFill="1" applyAlignment="1">
      <alignment horizontal="center" vertical="center" wrapText="1"/>
    </xf>
    <xf numFmtId="0" fontId="4" fillId="4" borderId="26" xfId="50" applyFont="1" applyFill="1" applyBorder="1" applyAlignment="1">
      <alignment horizontal="center" vertical="center" wrapText="1"/>
    </xf>
    <xf numFmtId="0" fontId="4" fillId="4" borderId="27" xfId="50" applyFont="1" applyFill="1" applyBorder="1" applyAlignment="1">
      <alignment horizontal="center" vertical="center" wrapText="1"/>
    </xf>
    <xf numFmtId="0" fontId="4" fillId="4" borderId="18" xfId="50" applyFont="1" applyFill="1" applyBorder="1" applyAlignment="1">
      <alignment horizontal="center" vertical="center" wrapText="1"/>
    </xf>
    <xf numFmtId="0" fontId="4" fillId="4" borderId="18" xfId="50" applyFont="1" applyFill="1" applyBorder="1" applyAlignment="1">
      <alignment vertical="center" wrapText="1"/>
    </xf>
    <xf numFmtId="0" fontId="4" fillId="4" borderId="28" xfId="50" applyFont="1" applyFill="1" applyBorder="1" applyAlignment="1">
      <alignment horizontal="center" vertical="center" wrapText="1"/>
    </xf>
    <xf numFmtId="0" fontId="4" fillId="4" borderId="29" xfId="50" applyFont="1" applyFill="1" applyBorder="1" applyAlignment="1">
      <alignment horizontal="center" vertical="center" wrapText="1"/>
    </xf>
    <xf numFmtId="0" fontId="4" fillId="4" borderId="30" xfId="5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left" vertical="center"/>
    </xf>
    <xf numFmtId="0" fontId="13" fillId="6" borderId="15" xfId="50" applyFont="1" applyFill="1" applyBorder="1" applyAlignment="1">
      <alignment horizontal="left" vertical="center" wrapText="1"/>
    </xf>
    <xf numFmtId="0" fontId="13" fillId="6" borderId="16" xfId="50" applyFont="1" applyFill="1" applyBorder="1" applyAlignment="1">
      <alignment horizontal="left" vertical="center" wrapText="1"/>
    </xf>
    <xf numFmtId="179" fontId="8" fillId="0" borderId="18" xfId="0" applyNumberFormat="1" applyFont="1" applyBorder="1" applyAlignment="1">
      <alignment horizontal="left" vertical="top" wrapText="1"/>
    </xf>
    <xf numFmtId="0" fontId="8" fillId="0" borderId="18" xfId="0" applyFont="1" applyBorder="1" applyAlignment="1">
      <alignment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13" fillId="6" borderId="15" xfId="50" applyFont="1" applyFill="1" applyBorder="1" applyAlignment="1">
      <alignment horizontal="center" vertical="center" wrapText="1"/>
    </xf>
    <xf numFmtId="0" fontId="13" fillId="6" borderId="16" xfId="50" applyFont="1" applyFill="1" applyBorder="1" applyAlignment="1">
      <alignment horizontal="center" vertical="center" wrapText="1"/>
    </xf>
    <xf numFmtId="0" fontId="13" fillId="6" borderId="16" xfId="50" applyFont="1" applyFill="1" applyBorder="1" applyAlignment="1">
      <alignment horizontal="left" vertical="center" wrapText="1"/>
    </xf>
    <xf numFmtId="0" fontId="13" fillId="6" borderId="16" xfId="50" applyFont="1" applyFill="1" applyBorder="1" applyAlignment="1">
      <alignment horizontal="left" vertical="center" wrapText="1"/>
    </xf>
    <xf numFmtId="0" fontId="13" fillId="6" borderId="15" xfId="50" applyFont="1" applyFill="1" applyBorder="1" applyAlignment="1">
      <alignment horizontal="center" vertical="center" wrapText="1"/>
    </xf>
    <xf numFmtId="0" fontId="13" fillId="6" borderId="16" xfId="5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top" wrapText="1"/>
    </xf>
    <xf numFmtId="0" fontId="8" fillId="0" borderId="32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13" fillId="6" borderId="33" xfId="5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left" vertical="top" wrapText="1"/>
    </xf>
    <xf numFmtId="0" fontId="8" fillId="3" borderId="0" xfId="0" applyFont="1" applyFill="1" applyAlignment="1">
      <alignment wrapText="1"/>
    </xf>
    <xf numFmtId="0" fontId="8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0" fontId="8" fillId="3" borderId="29" xfId="0" applyFont="1" applyFill="1" applyBorder="1" applyAlignment="1">
      <alignment horizontal="center" wrapText="1"/>
    </xf>
    <xf numFmtId="0" fontId="4" fillId="4" borderId="32" xfId="50" applyFont="1" applyFill="1" applyBorder="1" applyAlignment="1">
      <alignment horizontal="center" vertical="center" wrapText="1"/>
    </xf>
    <xf numFmtId="0" fontId="10" fillId="3" borderId="0" xfId="0" applyFont="1" applyFill="1"/>
    <xf numFmtId="0" fontId="12" fillId="5" borderId="31" xfId="0" applyFont="1" applyFill="1" applyBorder="1" applyAlignment="1">
      <alignment horizontal="left" vertical="center"/>
    </xf>
    <xf numFmtId="0" fontId="13" fillId="6" borderId="31" xfId="50" applyFont="1" applyFill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top" wrapText="1"/>
    </xf>
    <xf numFmtId="0" fontId="13" fillId="6" borderId="16" xfId="50" applyFont="1" applyFill="1" applyBorder="1" applyAlignment="1">
      <alignment horizontal="left" vertical="center" wrapText="1"/>
    </xf>
    <xf numFmtId="0" fontId="13" fillId="6" borderId="31" xfId="50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/>
    <xf numFmtId="0" fontId="15" fillId="3" borderId="0" xfId="0" applyFont="1" applyFill="1"/>
    <xf numFmtId="0" fontId="1" fillId="3" borderId="0" xfId="0" applyFont="1" applyFill="1"/>
    <xf numFmtId="0" fontId="16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15" fontId="3" fillId="0" borderId="0" xfId="0" applyNumberFormat="1" applyFont="1" applyAlignment="1">
      <alignment horizontal="left"/>
    </xf>
    <xf numFmtId="0" fontId="16" fillId="0" borderId="0" xfId="0" applyFont="1"/>
    <xf numFmtId="178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5" fontId="3" fillId="0" borderId="5" xfId="0" applyNumberFormat="1" applyFont="1" applyBorder="1" applyAlignment="1">
      <alignment horizontal="left" vertical="center"/>
    </xf>
    <xf numFmtId="15" fontId="3" fillId="0" borderId="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15" fontId="3" fillId="0" borderId="5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178" fontId="3" fillId="0" borderId="7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unctional Test Case v1.0" xfId="49"/>
    <cellStyle name="Normal_Sheet1_Vanco_CR022a1_TestCase_v0.1" xfId="50"/>
    <cellStyle name="標準_結合試験(AllOvertheWorld)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3"/>
  <sheetViews>
    <sheetView showGridLines="0" workbookViewId="0">
      <selection activeCell="B13" sqref="B13"/>
    </sheetView>
  </sheetViews>
  <sheetFormatPr defaultColWidth="9" defaultRowHeight="13.8" outlineLevelCol="7"/>
  <cols>
    <col min="1" max="1" width="9" style="112"/>
    <col min="2" max="2" width="14.1666666666667" style="112" customWidth="1"/>
    <col min="3" max="3" width="9" style="112"/>
    <col min="4" max="4" width="15" style="112" customWidth="1"/>
    <col min="5" max="5" width="32.5" style="112" customWidth="1"/>
    <col min="6" max="6" width="23.8333333333333" style="112" customWidth="1"/>
    <col min="7" max="7" width="20.5" style="112" customWidth="1"/>
    <col min="8" max="8" width="26.6666666666667" style="112" customWidth="1"/>
    <col min="9" max="16384" width="9" style="112"/>
  </cols>
  <sheetData>
    <row r="2" ht="22.2" spans="1:7">
      <c r="A2" s="113"/>
      <c r="B2" s="114" t="s">
        <v>0</v>
      </c>
      <c r="C2" s="113"/>
      <c r="D2" s="113"/>
      <c r="E2" s="113"/>
      <c r="F2" s="113"/>
      <c r="G2" s="113"/>
    </row>
    <row r="3" spans="1:7">
      <c r="A3" s="113"/>
      <c r="B3" s="115" t="s">
        <v>1</v>
      </c>
      <c r="C3" s="116">
        <v>1.2</v>
      </c>
      <c r="D3" s="117"/>
      <c r="E3" s="113"/>
      <c r="F3" s="113"/>
      <c r="G3" s="113"/>
    </row>
    <row r="4" spans="1:7">
      <c r="A4" s="113"/>
      <c r="B4" s="115" t="s">
        <v>2</v>
      </c>
      <c r="C4" s="118" t="s">
        <v>3</v>
      </c>
      <c r="D4" s="118"/>
      <c r="E4" s="113"/>
      <c r="F4" s="113"/>
      <c r="G4" s="113"/>
    </row>
    <row r="5" ht="14.55" spans="1:7">
      <c r="A5" s="113"/>
      <c r="B5" s="115"/>
      <c r="C5" s="117"/>
      <c r="D5" s="117"/>
      <c r="E5" s="113"/>
      <c r="F5" s="113"/>
      <c r="G5" s="113"/>
    </row>
    <row r="6" ht="14.25" customHeight="1" spans="1:7">
      <c r="A6" s="113"/>
      <c r="B6" s="115" t="s">
        <v>4</v>
      </c>
      <c r="C6" s="44" t="s">
        <v>5</v>
      </c>
      <c r="D6" s="44"/>
      <c r="E6" s="45"/>
      <c r="F6" s="113"/>
      <c r="G6" s="113"/>
    </row>
    <row r="7" spans="1:7">
      <c r="A7" s="113"/>
      <c r="B7" s="115" t="s">
        <v>6</v>
      </c>
      <c r="C7" s="44" t="s">
        <v>7</v>
      </c>
      <c r="D7" s="44"/>
      <c r="E7" s="45"/>
      <c r="F7" s="113"/>
      <c r="G7" s="113"/>
    </row>
    <row r="8" spans="1:7">
      <c r="A8" s="113"/>
      <c r="B8" s="115"/>
      <c r="C8" s="113"/>
      <c r="D8" s="113"/>
      <c r="E8" s="113"/>
      <c r="F8" s="113"/>
      <c r="G8" s="113"/>
    </row>
    <row r="9" spans="1:7">
      <c r="A9" s="113"/>
      <c r="B9" s="6"/>
      <c r="C9" s="6"/>
      <c r="D9" s="6"/>
      <c r="E9" s="6"/>
      <c r="F9" s="113"/>
      <c r="G9" s="113"/>
    </row>
    <row r="10" spans="2:2">
      <c r="B10" s="119" t="s">
        <v>8</v>
      </c>
    </row>
    <row r="11" s="110" customFormat="1" ht="26.4" spans="2:8">
      <c r="B11" s="120" t="s">
        <v>9</v>
      </c>
      <c r="C11" s="121" t="s">
        <v>10</v>
      </c>
      <c r="D11" s="121" t="s">
        <v>11</v>
      </c>
      <c r="E11" s="121" t="s">
        <v>12</v>
      </c>
      <c r="F11" s="121" t="s">
        <v>13</v>
      </c>
      <c r="G11" s="122" t="s">
        <v>14</v>
      </c>
      <c r="H11" s="123" t="s">
        <v>15</v>
      </c>
    </row>
    <row r="12" s="110" customFormat="1" ht="26.4" spans="2:8">
      <c r="B12" s="124">
        <v>39293</v>
      </c>
      <c r="C12" s="125" t="s">
        <v>16</v>
      </c>
      <c r="D12" s="126"/>
      <c r="E12" s="127" t="s">
        <v>17</v>
      </c>
      <c r="F12" s="128" t="s">
        <v>18</v>
      </c>
      <c r="G12" s="129"/>
      <c r="H12" s="130" t="s">
        <v>19</v>
      </c>
    </row>
    <row r="13" s="110" customFormat="1" ht="26.4" spans="2:8">
      <c r="B13" s="7">
        <v>39295</v>
      </c>
      <c r="C13" s="125" t="s">
        <v>20</v>
      </c>
      <c r="D13" s="126"/>
      <c r="E13" s="127" t="s">
        <v>21</v>
      </c>
      <c r="F13" s="128" t="s">
        <v>18</v>
      </c>
      <c r="G13" s="131" t="s">
        <v>22</v>
      </c>
      <c r="H13" s="130" t="s">
        <v>19</v>
      </c>
    </row>
    <row r="14" s="111" customFormat="1" ht="26.4" spans="2:8">
      <c r="B14" s="124">
        <v>39311</v>
      </c>
      <c r="C14" s="125" t="s">
        <v>23</v>
      </c>
      <c r="D14" s="126"/>
      <c r="E14" s="127" t="s">
        <v>21</v>
      </c>
      <c r="F14" s="128" t="s">
        <v>18</v>
      </c>
      <c r="G14" s="131" t="s">
        <v>24</v>
      </c>
      <c r="H14" s="130" t="s">
        <v>19</v>
      </c>
    </row>
    <row r="15" s="111" customFormat="1" ht="13.2" spans="2:8">
      <c r="B15" s="132"/>
      <c r="C15" s="133"/>
      <c r="D15" s="134"/>
      <c r="E15" s="134"/>
      <c r="F15" s="134"/>
      <c r="G15" s="134"/>
      <c r="H15" s="135"/>
    </row>
    <row r="16" s="110" customFormat="1" spans="2:8">
      <c r="B16" s="124"/>
      <c r="C16" s="125"/>
      <c r="D16" s="126"/>
      <c r="E16" s="134"/>
      <c r="F16" s="134"/>
      <c r="G16" s="134"/>
      <c r="H16" s="136"/>
    </row>
    <row r="17" s="110" customFormat="1" spans="2:8">
      <c r="B17" s="132"/>
      <c r="C17" s="133"/>
      <c r="D17" s="134"/>
      <c r="E17" s="134"/>
      <c r="F17" s="134"/>
      <c r="G17" s="134"/>
      <c r="H17" s="135"/>
    </row>
    <row r="18" s="110" customFormat="1" spans="2:8">
      <c r="B18" s="132"/>
      <c r="C18" s="133"/>
      <c r="D18" s="134"/>
      <c r="E18" s="134"/>
      <c r="F18" s="134"/>
      <c r="G18" s="134"/>
      <c r="H18" s="135"/>
    </row>
    <row r="19" s="110" customFormat="1" spans="2:8">
      <c r="B19" s="132"/>
      <c r="C19" s="133"/>
      <c r="D19" s="134"/>
      <c r="E19" s="134"/>
      <c r="F19" s="134"/>
      <c r="G19" s="134"/>
      <c r="H19" s="135"/>
    </row>
    <row r="20" s="110" customFormat="1" spans="2:8">
      <c r="B20" s="132"/>
      <c r="C20" s="133"/>
      <c r="D20" s="134"/>
      <c r="E20" s="134"/>
      <c r="F20" s="134"/>
      <c r="G20" s="134"/>
      <c r="H20" s="135"/>
    </row>
    <row r="21" s="110" customFormat="1" spans="2:8">
      <c r="B21" s="132"/>
      <c r="C21" s="133"/>
      <c r="D21" s="134"/>
      <c r="E21" s="134"/>
      <c r="F21" s="134"/>
      <c r="G21" s="134"/>
      <c r="H21" s="135"/>
    </row>
    <row r="22" s="110" customFormat="1" spans="2:8">
      <c r="B22" s="132"/>
      <c r="C22" s="133"/>
      <c r="D22" s="134"/>
      <c r="E22" s="134"/>
      <c r="F22" s="134"/>
      <c r="G22" s="134"/>
      <c r="H22" s="135"/>
    </row>
    <row r="23" s="110" customFormat="1" spans="2:8">
      <c r="B23" s="137"/>
      <c r="C23" s="138"/>
      <c r="D23" s="139"/>
      <c r="E23" s="139"/>
      <c r="F23" s="139"/>
      <c r="G23" s="139"/>
      <c r="H23" s="140"/>
    </row>
  </sheetData>
  <mergeCells count="2">
    <mergeCell ref="C6:E6"/>
    <mergeCell ref="C7:E7"/>
  </mergeCells>
  <pageMargins left="0.37" right="0.47" top="0.5" bottom="0.38" header="0.5" footer="0.17"/>
  <pageSetup paperSize="9" orientation="landscape" horizontalDpi="96" verticalDpi="96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6"/>
  <sheetViews>
    <sheetView tabSelected="1" zoomScale="60" zoomScaleNormal="60" topLeftCell="A46" workbookViewId="0">
      <selection activeCell="A57" sqref="A57:A86"/>
    </sheetView>
  </sheetViews>
  <sheetFormatPr defaultColWidth="8.83333333333333" defaultRowHeight="13.2"/>
  <cols>
    <col min="1" max="1" width="15.6666666666667" customWidth="1"/>
    <col min="2" max="2" width="18.1666666666667" customWidth="1"/>
    <col min="3" max="3" width="42.1666666666667" customWidth="1"/>
    <col min="6" max="6" width="23.6666666666667" customWidth="1"/>
    <col min="7" max="7" width="18.5" hidden="1" customWidth="1"/>
    <col min="8" max="8" width="38" customWidth="1"/>
    <col min="9" max="9" width="17.1666666666667" customWidth="1"/>
    <col min="10" max="10" width="9" style="36"/>
    <col min="11" max="11" width="18" style="37" customWidth="1"/>
  </cols>
  <sheetData>
    <row r="1" s="30" customFormat="1" ht="12.75" customHeight="1" spans="1:12">
      <c r="A1" s="38" t="s">
        <v>0</v>
      </c>
      <c r="B1" s="39"/>
      <c r="C1" s="39"/>
      <c r="D1" s="39"/>
      <c r="E1" s="40"/>
      <c r="F1" s="40"/>
      <c r="G1" s="40"/>
      <c r="H1" s="40"/>
      <c r="I1" s="40"/>
      <c r="J1" s="98"/>
      <c r="K1" s="40"/>
      <c r="L1" s="41"/>
    </row>
    <row r="2" s="30" customFormat="1" ht="11.25" customHeight="1" spans="1:12">
      <c r="A2" s="41"/>
      <c r="B2" s="42"/>
      <c r="C2" s="42"/>
      <c r="D2" s="42"/>
      <c r="E2" s="40"/>
      <c r="F2" s="40"/>
      <c r="G2" s="40"/>
      <c r="H2" s="40"/>
      <c r="I2" s="40"/>
      <c r="J2" s="98"/>
      <c r="K2" s="40"/>
      <c r="L2" s="41"/>
    </row>
    <row r="3" s="31" customFormat="1" ht="15" customHeight="1" spans="1:12">
      <c r="A3" s="43" t="s">
        <v>25</v>
      </c>
      <c r="B3" s="44" t="s">
        <v>26</v>
      </c>
      <c r="C3" s="44"/>
      <c r="D3" s="45"/>
      <c r="E3" s="46"/>
      <c r="F3" s="46"/>
      <c r="G3" s="46"/>
      <c r="H3" s="46"/>
      <c r="I3" s="59"/>
      <c r="J3" s="59"/>
      <c r="K3" s="59"/>
      <c r="L3" s="99"/>
    </row>
    <row r="4" s="31" customFormat="1" spans="1:12">
      <c r="A4" s="47" t="s">
        <v>27</v>
      </c>
      <c r="B4" s="48" t="s">
        <v>28</v>
      </c>
      <c r="C4" s="49"/>
      <c r="D4" s="50"/>
      <c r="E4" s="46"/>
      <c r="F4" s="46"/>
      <c r="G4" s="46"/>
      <c r="H4" s="46"/>
      <c r="I4" s="59"/>
      <c r="J4" s="59"/>
      <c r="K4" s="59"/>
      <c r="L4" s="99"/>
    </row>
    <row r="5" s="32" customFormat="1" ht="26.4" spans="1:12">
      <c r="A5" s="47" t="s">
        <v>29</v>
      </c>
      <c r="B5" s="51" t="s">
        <v>30</v>
      </c>
      <c r="C5" s="52"/>
      <c r="D5" s="53"/>
      <c r="E5" s="54"/>
      <c r="F5" s="54"/>
      <c r="G5" s="54"/>
      <c r="H5" s="54"/>
      <c r="I5" s="100"/>
      <c r="J5" s="100"/>
      <c r="K5" s="100"/>
      <c r="L5" s="101"/>
    </row>
    <row r="6" s="31" customFormat="1" ht="15" customHeight="1" spans="1:12">
      <c r="A6" s="55" t="s">
        <v>31</v>
      </c>
      <c r="B6" s="56">
        <f>COUNTIF(J12:J57,"Pass")</f>
        <v>35</v>
      </c>
      <c r="C6" s="57" t="s">
        <v>32</v>
      </c>
      <c r="D6" s="58">
        <f>COUNTIF(J10:J887,"Pending")</f>
        <v>0</v>
      </c>
      <c r="E6" s="59"/>
      <c r="F6" s="59"/>
      <c r="G6" s="59"/>
      <c r="H6" s="59"/>
      <c r="I6" s="59"/>
      <c r="J6" s="59"/>
      <c r="K6" s="59"/>
      <c r="L6" s="99"/>
    </row>
    <row r="7" s="31" customFormat="1" ht="15" customHeight="1" spans="1:12">
      <c r="A7" s="60" t="s">
        <v>33</v>
      </c>
      <c r="B7" s="61">
        <f>COUNTIF(J12:J57,"Fail")</f>
        <v>0</v>
      </c>
      <c r="C7" s="62" t="s">
        <v>34</v>
      </c>
      <c r="D7" s="63">
        <f>COUNTA(A12:A57)-15</f>
        <v>23</v>
      </c>
      <c r="E7" s="64"/>
      <c r="F7" s="64"/>
      <c r="G7" s="64"/>
      <c r="H7" s="64"/>
      <c r="I7" s="59"/>
      <c r="J7" s="59"/>
      <c r="K7" s="59"/>
      <c r="L7" s="99"/>
    </row>
    <row r="8" s="31" customFormat="1" ht="15" customHeight="1" spans="1:12">
      <c r="A8" s="65"/>
      <c r="B8" s="65"/>
      <c r="C8" s="65"/>
      <c r="D8" s="65"/>
      <c r="E8" s="59"/>
      <c r="F8" s="59"/>
      <c r="G8" s="59"/>
      <c r="H8" s="59"/>
      <c r="I8" s="59"/>
      <c r="J8" s="102"/>
      <c r="K8" s="102"/>
      <c r="L8" s="99"/>
    </row>
    <row r="9" s="33" customFormat="1" ht="12" customHeight="1" spans="1:12">
      <c r="A9" s="66" t="s">
        <v>35</v>
      </c>
      <c r="B9" s="67" t="s">
        <v>36</v>
      </c>
      <c r="C9" s="66" t="s">
        <v>37</v>
      </c>
      <c r="D9" s="68" t="s">
        <v>38</v>
      </c>
      <c r="E9" s="69"/>
      <c r="F9" s="69"/>
      <c r="G9" s="70"/>
      <c r="H9" s="71" t="s">
        <v>39</v>
      </c>
      <c r="I9" s="103" t="s">
        <v>40</v>
      </c>
      <c r="J9" s="103" t="s">
        <v>41</v>
      </c>
      <c r="K9" s="103" t="s">
        <v>42</v>
      </c>
      <c r="L9" s="104"/>
    </row>
    <row r="10" s="31" customFormat="1" ht="12" customHeight="1" spans="1:12">
      <c r="A10" s="72"/>
      <c r="B10" s="73"/>
      <c r="C10" s="72"/>
      <c r="D10" s="74"/>
      <c r="E10" s="75"/>
      <c r="F10" s="75"/>
      <c r="G10" s="76"/>
      <c r="H10" s="66"/>
      <c r="I10" s="66"/>
      <c r="J10" s="66"/>
      <c r="K10" s="66"/>
      <c r="L10" s="99"/>
    </row>
    <row r="11" s="34" customFormat="1" ht="15" spans="1: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105"/>
    </row>
    <row r="12" s="35" customFormat="1" spans="1:11">
      <c r="A12" s="78" t="s">
        <v>43</v>
      </c>
      <c r="B12" s="79"/>
      <c r="C12" s="79"/>
      <c r="D12" s="79"/>
      <c r="E12" s="79"/>
      <c r="F12" s="79"/>
      <c r="G12" s="79"/>
      <c r="H12" s="79"/>
      <c r="I12" s="79"/>
      <c r="J12" s="79"/>
      <c r="K12" s="106"/>
    </row>
    <row r="13" s="35" customFormat="1" ht="39.6" outlineLevel="1" spans="1:11">
      <c r="A13" s="80" t="s">
        <v>44</v>
      </c>
      <c r="B13" s="81" t="s">
        <v>45</v>
      </c>
      <c r="C13" s="82" t="s">
        <v>46</v>
      </c>
      <c r="D13" s="83" t="s">
        <v>47</v>
      </c>
      <c r="E13" s="84"/>
      <c r="F13" s="84"/>
      <c r="G13" s="85"/>
      <c r="H13" s="84"/>
      <c r="I13" s="107"/>
      <c r="J13" s="82" t="s">
        <v>31</v>
      </c>
      <c r="K13" s="82"/>
    </row>
    <row r="14" s="35" customFormat="1" ht="26.4" outlineLevel="1" spans="1:11">
      <c r="A14" s="80" t="s">
        <v>48</v>
      </c>
      <c r="B14" s="81" t="s">
        <v>49</v>
      </c>
      <c r="C14" s="82" t="s">
        <v>50</v>
      </c>
      <c r="D14" s="83" t="s">
        <v>51</v>
      </c>
      <c r="E14" s="84"/>
      <c r="F14" s="84"/>
      <c r="G14" s="85"/>
      <c r="H14" s="84"/>
      <c r="I14" s="107"/>
      <c r="J14" s="82" t="s">
        <v>31</v>
      </c>
      <c r="K14" s="82"/>
    </row>
    <row r="15" s="35" customFormat="1" ht="26.4" outlineLevel="1" spans="1:11">
      <c r="A15" s="80" t="s">
        <v>52</v>
      </c>
      <c r="B15" s="81" t="s">
        <v>53</v>
      </c>
      <c r="C15" s="82" t="s">
        <v>54</v>
      </c>
      <c r="D15" s="83" t="s">
        <v>55</v>
      </c>
      <c r="E15" s="84"/>
      <c r="F15" s="84"/>
      <c r="G15" s="85"/>
      <c r="H15" s="84"/>
      <c r="I15" s="107"/>
      <c r="J15" s="82" t="s">
        <v>31</v>
      </c>
      <c r="K15" s="82"/>
    </row>
    <row r="16" s="35" customFormat="1" ht="26.4" outlineLevel="1" spans="1:11">
      <c r="A16" s="80" t="s">
        <v>56</v>
      </c>
      <c r="B16" s="81" t="s">
        <v>57</v>
      </c>
      <c r="C16" s="82" t="s">
        <v>58</v>
      </c>
      <c r="D16" s="83" t="s">
        <v>59</v>
      </c>
      <c r="E16" s="84"/>
      <c r="F16" s="84"/>
      <c r="G16" s="85"/>
      <c r="H16" s="84"/>
      <c r="I16" s="107"/>
      <c r="J16" s="82" t="s">
        <v>31</v>
      </c>
      <c r="K16" s="82"/>
    </row>
    <row r="17" s="35" customFormat="1" ht="26.4" outlineLevel="1" spans="1:11">
      <c r="A17" s="80" t="s">
        <v>60</v>
      </c>
      <c r="B17" s="81" t="s">
        <v>57</v>
      </c>
      <c r="C17" s="82" t="s">
        <v>61</v>
      </c>
      <c r="D17" s="83" t="s">
        <v>59</v>
      </c>
      <c r="E17" s="84"/>
      <c r="F17" s="84"/>
      <c r="G17" s="85"/>
      <c r="H17" s="84"/>
      <c r="I17" s="107"/>
      <c r="J17" s="82" t="s">
        <v>31</v>
      </c>
      <c r="K17" s="82"/>
    </row>
    <row r="18" s="35" customFormat="1" ht="26.4" outlineLevel="1" spans="1:11">
      <c r="A18" s="80" t="s">
        <v>62</v>
      </c>
      <c r="B18" s="81" t="s">
        <v>63</v>
      </c>
      <c r="C18" s="82" t="s">
        <v>64</v>
      </c>
      <c r="D18" s="83" t="s">
        <v>65</v>
      </c>
      <c r="E18" s="84"/>
      <c r="F18" s="84"/>
      <c r="G18" s="85"/>
      <c r="H18" s="84"/>
      <c r="I18" s="107"/>
      <c r="J18" s="82" t="s">
        <v>31</v>
      </c>
      <c r="K18" s="82"/>
    </row>
    <row r="19" s="35" customFormat="1" ht="26.4" outlineLevel="1" spans="1:11">
      <c r="A19" s="80" t="s">
        <v>66</v>
      </c>
      <c r="B19" s="81" t="s">
        <v>67</v>
      </c>
      <c r="C19" s="82" t="s">
        <v>68</v>
      </c>
      <c r="D19" s="83" t="s">
        <v>69</v>
      </c>
      <c r="E19" s="84"/>
      <c r="F19" s="84"/>
      <c r="G19" s="85"/>
      <c r="H19" s="84"/>
      <c r="I19" s="107"/>
      <c r="J19" s="82" t="s">
        <v>31</v>
      </c>
      <c r="K19" s="82"/>
    </row>
    <row r="20" s="35" customFormat="1" ht="26.4" outlineLevel="1" spans="1:11">
      <c r="A20" s="80" t="s">
        <v>70</v>
      </c>
      <c r="B20" s="81" t="s">
        <v>71</v>
      </c>
      <c r="C20" s="82" t="s">
        <v>72</v>
      </c>
      <c r="D20" s="83" t="s">
        <v>73</v>
      </c>
      <c r="E20" s="84"/>
      <c r="F20" s="84"/>
      <c r="G20" s="85"/>
      <c r="H20" s="84"/>
      <c r="I20" s="107"/>
      <c r="J20" s="82" t="s">
        <v>31</v>
      </c>
      <c r="K20" s="82"/>
    </row>
    <row r="21" s="35" customFormat="1" outlineLevel="1" spans="1:11">
      <c r="A21" s="80" t="s">
        <v>74</v>
      </c>
      <c r="B21" s="81" t="s">
        <v>75</v>
      </c>
      <c r="C21" s="82" t="s">
        <v>76</v>
      </c>
      <c r="D21" s="83" t="s">
        <v>77</v>
      </c>
      <c r="E21" s="84"/>
      <c r="F21" s="84"/>
      <c r="G21" s="85"/>
      <c r="H21" s="84"/>
      <c r="I21" s="107"/>
      <c r="J21" s="82" t="s">
        <v>31</v>
      </c>
      <c r="K21" s="82"/>
    </row>
    <row r="22" s="35" customFormat="1" outlineLevel="1" spans="1:11">
      <c r="A22" s="80" t="s">
        <v>78</v>
      </c>
      <c r="B22" s="81" t="s">
        <v>79</v>
      </c>
      <c r="C22" s="82" t="s">
        <v>80</v>
      </c>
      <c r="D22" s="83" t="s">
        <v>81</v>
      </c>
      <c r="E22" s="84"/>
      <c r="F22" s="84"/>
      <c r="G22" s="85"/>
      <c r="H22" s="84"/>
      <c r="I22" s="107"/>
      <c r="J22" s="82" t="s">
        <v>31</v>
      </c>
      <c r="K22" s="82"/>
    </row>
    <row r="23" s="35" customFormat="1" ht="26.4" outlineLevel="1" spans="1:11">
      <c r="A23" s="80" t="s">
        <v>82</v>
      </c>
      <c r="B23" s="81" t="s">
        <v>83</v>
      </c>
      <c r="C23" s="82" t="s">
        <v>84</v>
      </c>
      <c r="D23" s="83" t="s">
        <v>85</v>
      </c>
      <c r="E23" s="84"/>
      <c r="F23" s="84"/>
      <c r="G23" s="85"/>
      <c r="H23" s="84"/>
      <c r="I23" s="107"/>
      <c r="J23" s="82" t="s">
        <v>31</v>
      </c>
      <c r="K23" s="82"/>
    </row>
    <row r="24" s="35" customFormat="1" ht="26.4" outlineLevel="1" spans="1:11">
      <c r="A24" s="80" t="s">
        <v>86</v>
      </c>
      <c r="B24" s="81" t="s">
        <v>87</v>
      </c>
      <c r="C24" s="82" t="s">
        <v>88</v>
      </c>
      <c r="D24" s="83" t="s">
        <v>89</v>
      </c>
      <c r="E24" s="84"/>
      <c r="F24" s="84"/>
      <c r="G24" s="85"/>
      <c r="H24" s="84"/>
      <c r="I24" s="107"/>
      <c r="J24" s="82" t="s">
        <v>31</v>
      </c>
      <c r="K24" s="82"/>
    </row>
    <row r="25" s="35" customFormat="1" outlineLevel="1" spans="1:11">
      <c r="A25" s="80" t="s">
        <v>90</v>
      </c>
      <c r="B25" s="81" t="s">
        <v>91</v>
      </c>
      <c r="C25" s="82" t="s">
        <v>92</v>
      </c>
      <c r="D25" s="83" t="s">
        <v>93</v>
      </c>
      <c r="E25" s="84"/>
      <c r="F25" s="84"/>
      <c r="G25" s="85"/>
      <c r="H25" s="84"/>
      <c r="I25" s="107"/>
      <c r="J25" s="82" t="s">
        <v>31</v>
      </c>
      <c r="K25" s="82"/>
    </row>
    <row r="26" s="35" customFormat="1" outlineLevel="1" spans="1:11">
      <c r="A26" s="86"/>
      <c r="B26" s="87"/>
      <c r="C26" s="87"/>
      <c r="D26" s="88"/>
      <c r="E26" s="79"/>
      <c r="F26" s="79"/>
      <c r="G26" s="89"/>
      <c r="H26" s="79"/>
      <c r="I26" s="88"/>
      <c r="J26" s="108"/>
      <c r="K26" s="109"/>
    </row>
    <row r="27" s="35" customFormat="1" outlineLevel="1" spans="1:11">
      <c r="A27" s="90" t="s">
        <v>94</v>
      </c>
      <c r="B27" s="91"/>
      <c r="C27" s="91"/>
      <c r="D27" s="79"/>
      <c r="E27" s="79"/>
      <c r="F27" s="79"/>
      <c r="G27" s="79"/>
      <c r="H27" s="79"/>
      <c r="I27" s="79"/>
      <c r="J27" s="79"/>
      <c r="K27" s="106"/>
    </row>
    <row r="28" s="35" customFormat="1" ht="63.75" customHeight="1" outlineLevel="1" spans="1:11">
      <c r="A28" s="80" t="s">
        <v>95</v>
      </c>
      <c r="B28" s="92" t="s">
        <v>96</v>
      </c>
      <c r="C28" s="93" t="s">
        <v>97</v>
      </c>
      <c r="D28" s="94" t="s">
        <v>98</v>
      </c>
      <c r="E28" s="84"/>
      <c r="F28" s="84"/>
      <c r="G28" s="85"/>
      <c r="H28" s="84"/>
      <c r="I28" s="83"/>
      <c r="J28" s="82" t="s">
        <v>31</v>
      </c>
      <c r="K28" s="82"/>
    </row>
    <row r="29" s="35" customFormat="1" ht="63.75" customHeight="1" outlineLevel="1" spans="1:11">
      <c r="A29" s="80" t="s">
        <v>99</v>
      </c>
      <c r="B29" s="92" t="s">
        <v>100</v>
      </c>
      <c r="C29" s="93" t="s">
        <v>101</v>
      </c>
      <c r="D29" s="94" t="s">
        <v>102</v>
      </c>
      <c r="E29" s="84"/>
      <c r="F29" s="84"/>
      <c r="G29" s="85"/>
      <c r="H29" s="84"/>
      <c r="I29" s="83"/>
      <c r="J29" s="82" t="s">
        <v>31</v>
      </c>
      <c r="K29" s="82"/>
    </row>
    <row r="30" s="35" customFormat="1" ht="63.75" customHeight="1" outlineLevel="1" spans="1:11">
      <c r="A30" s="80" t="s">
        <v>103</v>
      </c>
      <c r="B30" s="92" t="s">
        <v>104</v>
      </c>
      <c r="C30" s="93" t="s">
        <v>105</v>
      </c>
      <c r="D30" s="94" t="s">
        <v>106</v>
      </c>
      <c r="E30" s="84"/>
      <c r="F30" s="84"/>
      <c r="G30" s="85"/>
      <c r="H30" s="84"/>
      <c r="I30" s="83"/>
      <c r="J30" s="82" t="s">
        <v>31</v>
      </c>
      <c r="K30" s="82"/>
    </row>
    <row r="31" s="35" customFormat="1" ht="63.75" customHeight="1" outlineLevel="1" spans="1:11">
      <c r="A31" s="80" t="s">
        <v>107</v>
      </c>
      <c r="B31" s="92" t="s">
        <v>108</v>
      </c>
      <c r="C31" s="93" t="s">
        <v>109</v>
      </c>
      <c r="D31" s="94" t="s">
        <v>110</v>
      </c>
      <c r="E31" s="84"/>
      <c r="F31" s="84"/>
      <c r="G31" s="85"/>
      <c r="H31" s="84"/>
      <c r="I31" s="83"/>
      <c r="J31" s="82" t="s">
        <v>31</v>
      </c>
      <c r="K31" s="82"/>
    </row>
    <row r="32" s="35" customFormat="1" ht="63.75" customHeight="1" outlineLevel="1" spans="1:11">
      <c r="A32" s="80" t="s">
        <v>111</v>
      </c>
      <c r="B32" s="92" t="s">
        <v>112</v>
      </c>
      <c r="C32" s="93" t="s">
        <v>113</v>
      </c>
      <c r="D32" s="94" t="s">
        <v>114</v>
      </c>
      <c r="E32" s="84"/>
      <c r="F32" s="84"/>
      <c r="G32" s="85"/>
      <c r="H32" s="84"/>
      <c r="I32" s="83"/>
      <c r="J32" s="82" t="s">
        <v>31</v>
      </c>
      <c r="K32" s="82"/>
    </row>
    <row r="33" s="35" customFormat="1" ht="63.75" customHeight="1" outlineLevel="1" spans="1:11">
      <c r="A33" s="80" t="s">
        <v>115</v>
      </c>
      <c r="B33" s="92" t="s">
        <v>116</v>
      </c>
      <c r="C33" s="93" t="s">
        <v>117</v>
      </c>
      <c r="D33" s="94" t="s">
        <v>118</v>
      </c>
      <c r="E33" s="84"/>
      <c r="F33" s="84"/>
      <c r="G33" s="85"/>
      <c r="H33" s="84"/>
      <c r="I33" s="83"/>
      <c r="J33" s="82" t="s">
        <v>31</v>
      </c>
      <c r="K33" s="82"/>
    </row>
    <row r="34" s="35" customFormat="1" ht="63.75" customHeight="1" outlineLevel="1" spans="1:11">
      <c r="A34" s="80" t="s">
        <v>119</v>
      </c>
      <c r="B34" s="92" t="s">
        <v>120</v>
      </c>
      <c r="C34" s="93" t="s">
        <v>121</v>
      </c>
      <c r="D34" s="94" t="s">
        <v>122</v>
      </c>
      <c r="E34" s="84"/>
      <c r="F34" s="84"/>
      <c r="G34" s="85"/>
      <c r="H34" s="84"/>
      <c r="I34" s="83"/>
      <c r="J34" s="82" t="s">
        <v>31</v>
      </c>
      <c r="K34" s="82"/>
    </row>
    <row r="35" s="35" customFormat="1" ht="63.75" customHeight="1" outlineLevel="1" spans="1:11">
      <c r="A35" s="80" t="s">
        <v>123</v>
      </c>
      <c r="B35" s="92" t="s">
        <v>124</v>
      </c>
      <c r="C35" s="93" t="s">
        <v>125</v>
      </c>
      <c r="D35" s="94" t="s">
        <v>126</v>
      </c>
      <c r="E35" s="84"/>
      <c r="F35" s="84"/>
      <c r="G35" s="85"/>
      <c r="H35" s="84"/>
      <c r="I35" s="83"/>
      <c r="J35" s="82" t="s">
        <v>31</v>
      </c>
      <c r="K35" s="82"/>
    </row>
    <row r="36" s="35" customFormat="1" ht="63.75" customHeight="1" outlineLevel="1" spans="1:11">
      <c r="A36" s="80" t="s">
        <v>127</v>
      </c>
      <c r="B36" s="92" t="s">
        <v>128</v>
      </c>
      <c r="C36" s="93" t="s">
        <v>129</v>
      </c>
      <c r="D36" s="94" t="s">
        <v>130</v>
      </c>
      <c r="E36" s="84"/>
      <c r="F36" s="84"/>
      <c r="G36" s="85"/>
      <c r="H36" s="84"/>
      <c r="I36" s="83"/>
      <c r="J36" s="82" t="s">
        <v>31</v>
      </c>
      <c r="K36" s="82"/>
    </row>
    <row r="37" s="35" customFormat="1" ht="63.75" customHeight="1" outlineLevel="1" spans="1:11">
      <c r="A37" s="80" t="s">
        <v>131</v>
      </c>
      <c r="B37" s="92" t="s">
        <v>132</v>
      </c>
      <c r="C37" s="93" t="s">
        <v>133</v>
      </c>
      <c r="D37" s="94" t="s">
        <v>134</v>
      </c>
      <c r="E37" s="84"/>
      <c r="F37" s="84"/>
      <c r="G37" s="85"/>
      <c r="H37" s="84"/>
      <c r="I37" s="83"/>
      <c r="J37" s="82" t="s">
        <v>31</v>
      </c>
      <c r="K37" s="82"/>
    </row>
    <row r="38" s="35" customFormat="1" ht="63.75" customHeight="1" outlineLevel="1" spans="1:11">
      <c r="A38" s="80" t="s">
        <v>135</v>
      </c>
      <c r="B38" s="92" t="s">
        <v>136</v>
      </c>
      <c r="C38" s="93" t="s">
        <v>137</v>
      </c>
      <c r="D38" s="94" t="s">
        <v>138</v>
      </c>
      <c r="E38" s="84"/>
      <c r="F38" s="84"/>
      <c r="G38" s="85"/>
      <c r="H38" s="84"/>
      <c r="I38" s="83"/>
      <c r="J38" s="82" t="s">
        <v>31</v>
      </c>
      <c r="K38" s="82"/>
    </row>
    <row r="39" s="35" customFormat="1" ht="63.75" customHeight="1" outlineLevel="1" spans="1:11">
      <c r="A39" s="80" t="s">
        <v>139</v>
      </c>
      <c r="B39" s="92" t="s">
        <v>140</v>
      </c>
      <c r="C39" s="93" t="s">
        <v>141</v>
      </c>
      <c r="D39" s="94" t="s">
        <v>142</v>
      </c>
      <c r="E39" s="84"/>
      <c r="F39" s="84"/>
      <c r="G39" s="85"/>
      <c r="H39" s="84"/>
      <c r="I39" s="83"/>
      <c r="J39" s="82" t="s">
        <v>31</v>
      </c>
      <c r="K39" s="82"/>
    </row>
    <row r="40" s="35" customFormat="1" ht="63.75" customHeight="1" outlineLevel="1" spans="1:11">
      <c r="A40" s="80" t="s">
        <v>143</v>
      </c>
      <c r="B40" s="92" t="s">
        <v>144</v>
      </c>
      <c r="C40" s="93" t="s">
        <v>145</v>
      </c>
      <c r="D40" s="94" t="s">
        <v>146</v>
      </c>
      <c r="E40" s="84"/>
      <c r="F40" s="84"/>
      <c r="G40" s="85"/>
      <c r="H40" s="84"/>
      <c r="I40" s="83"/>
      <c r="J40" s="82" t="s">
        <v>31</v>
      </c>
      <c r="K40" s="82"/>
    </row>
    <row r="41" s="35" customFormat="1" ht="63.75" customHeight="1" outlineLevel="1" spans="1:11">
      <c r="A41" s="80" t="s">
        <v>147</v>
      </c>
      <c r="B41" s="92" t="s">
        <v>148</v>
      </c>
      <c r="C41" s="93" t="s">
        <v>149</v>
      </c>
      <c r="D41" s="94" t="s">
        <v>150</v>
      </c>
      <c r="E41" s="84"/>
      <c r="F41" s="84"/>
      <c r="G41" s="85"/>
      <c r="H41" s="84"/>
      <c r="I41" s="83"/>
      <c r="J41" s="82" t="s">
        <v>31</v>
      </c>
      <c r="K41" s="82"/>
    </row>
    <row r="42" s="35" customFormat="1" ht="63.75" customHeight="1" outlineLevel="1" spans="1:11">
      <c r="A42" s="80" t="s">
        <v>151</v>
      </c>
      <c r="B42" s="92" t="s">
        <v>152</v>
      </c>
      <c r="C42" s="93" t="s">
        <v>153</v>
      </c>
      <c r="D42" s="94" t="s">
        <v>154</v>
      </c>
      <c r="E42" s="84"/>
      <c r="F42" s="84"/>
      <c r="G42" s="85"/>
      <c r="H42" s="84"/>
      <c r="I42" s="83"/>
      <c r="J42" s="82" t="s">
        <v>31</v>
      </c>
      <c r="K42" s="82"/>
    </row>
    <row r="43" s="35" customFormat="1" ht="63.75" customHeight="1" outlineLevel="1" spans="1:11">
      <c r="A43" s="80" t="s">
        <v>155</v>
      </c>
      <c r="B43" s="92" t="s">
        <v>156</v>
      </c>
      <c r="C43" s="93" t="s">
        <v>157</v>
      </c>
      <c r="D43" s="94" t="s">
        <v>158</v>
      </c>
      <c r="E43" s="84"/>
      <c r="F43" s="84"/>
      <c r="G43" s="85"/>
      <c r="H43" s="84"/>
      <c r="I43" s="83"/>
      <c r="J43" s="82" t="s">
        <v>31</v>
      </c>
      <c r="K43" s="82"/>
    </row>
    <row r="44" s="35" customFormat="1" ht="63.75" customHeight="1" outlineLevel="1" spans="1:11">
      <c r="A44" s="80" t="s">
        <v>159</v>
      </c>
      <c r="B44" s="92" t="s">
        <v>160</v>
      </c>
      <c r="C44" s="93" t="s">
        <v>161</v>
      </c>
      <c r="D44" s="94" t="s">
        <v>162</v>
      </c>
      <c r="E44" s="84"/>
      <c r="F44" s="84"/>
      <c r="G44" s="85"/>
      <c r="H44" s="84"/>
      <c r="I44" s="83"/>
      <c r="J44" s="82" t="s">
        <v>31</v>
      </c>
      <c r="K44" s="82"/>
    </row>
    <row r="45" s="35" customFormat="1" ht="63.75" customHeight="1" outlineLevel="1" spans="1:11">
      <c r="A45" s="80" t="s">
        <v>163</v>
      </c>
      <c r="B45" s="92" t="s">
        <v>164</v>
      </c>
      <c r="C45" s="93" t="s">
        <v>165</v>
      </c>
      <c r="D45" s="94" t="s">
        <v>166</v>
      </c>
      <c r="E45" s="84"/>
      <c r="F45" s="84"/>
      <c r="G45" s="85"/>
      <c r="H45" s="84"/>
      <c r="I45" s="83"/>
      <c r="J45" s="82" t="s">
        <v>31</v>
      </c>
      <c r="K45" s="82"/>
    </row>
    <row r="46" s="35" customFormat="1" ht="63.75" customHeight="1" outlineLevel="1" spans="1:11">
      <c r="A46" s="80" t="s">
        <v>167</v>
      </c>
      <c r="B46" s="92" t="s">
        <v>168</v>
      </c>
      <c r="C46" s="93" t="s">
        <v>169</v>
      </c>
      <c r="D46" s="94" t="s">
        <v>170</v>
      </c>
      <c r="E46" s="84"/>
      <c r="F46" s="84"/>
      <c r="G46" s="85"/>
      <c r="H46" s="84"/>
      <c r="I46" s="83"/>
      <c r="J46" s="82" t="s">
        <v>31</v>
      </c>
      <c r="K46" s="82"/>
    </row>
    <row r="47" s="35" customFormat="1" ht="63.75" customHeight="1" outlineLevel="1" spans="1:11">
      <c r="A47" s="80" t="s">
        <v>171</v>
      </c>
      <c r="B47" s="92" t="s">
        <v>172</v>
      </c>
      <c r="C47" s="93" t="s">
        <v>173</v>
      </c>
      <c r="D47" s="94" t="s">
        <v>174</v>
      </c>
      <c r="E47" s="84"/>
      <c r="F47" s="84"/>
      <c r="G47" s="85"/>
      <c r="H47" s="84"/>
      <c r="I47" s="83"/>
      <c r="J47" s="82" t="s">
        <v>31</v>
      </c>
      <c r="K47" s="82"/>
    </row>
    <row r="48" s="35" customFormat="1" ht="63.75" customHeight="1" outlineLevel="1" spans="1:11">
      <c r="A48" s="80" t="s">
        <v>175</v>
      </c>
      <c r="B48" s="92" t="s">
        <v>176</v>
      </c>
      <c r="C48" s="93" t="s">
        <v>177</v>
      </c>
      <c r="D48" s="94" t="s">
        <v>178</v>
      </c>
      <c r="E48" s="84"/>
      <c r="F48" s="84"/>
      <c r="G48" s="85"/>
      <c r="H48" s="84"/>
      <c r="I48" s="83"/>
      <c r="J48" s="82" t="s">
        <v>31</v>
      </c>
      <c r="K48" s="82"/>
    </row>
    <row r="49" s="35" customFormat="1" outlineLevel="1" spans="1:11">
      <c r="A49" s="86"/>
      <c r="B49" s="95"/>
      <c r="C49" s="95"/>
      <c r="D49" s="88"/>
      <c r="E49" s="79"/>
      <c r="F49" s="79"/>
      <c r="G49" s="89"/>
      <c r="H49" s="79"/>
      <c r="I49" s="88"/>
      <c r="J49" s="108"/>
      <c r="K49" s="109"/>
    </row>
    <row r="50" s="35" customFormat="1" outlineLevel="1" spans="1:11">
      <c r="A50" s="86"/>
      <c r="B50" s="95"/>
      <c r="C50" s="95"/>
      <c r="D50" s="88"/>
      <c r="E50" s="79"/>
      <c r="F50" s="79"/>
      <c r="G50" s="89"/>
      <c r="H50" s="79"/>
      <c r="I50" s="88"/>
      <c r="J50" s="108"/>
      <c r="K50" s="109"/>
    </row>
    <row r="51" s="35" customFormat="1" outlineLevel="1" spans="1:11">
      <c r="A51" s="86"/>
      <c r="B51" s="95"/>
      <c r="C51" s="95"/>
      <c r="D51" s="88"/>
      <c r="E51" s="79"/>
      <c r="F51" s="79"/>
      <c r="G51" s="89"/>
      <c r="H51" s="79"/>
      <c r="I51" s="88"/>
      <c r="J51" s="108"/>
      <c r="K51" s="109"/>
    </row>
    <row r="52" s="35" customFormat="1" outlineLevel="1" spans="1:11">
      <c r="A52" s="86"/>
      <c r="B52" s="95"/>
      <c r="C52" s="95"/>
      <c r="D52" s="88"/>
      <c r="E52" s="79"/>
      <c r="F52" s="79"/>
      <c r="G52" s="89"/>
      <c r="H52" s="79"/>
      <c r="I52" s="88"/>
      <c r="J52" s="108"/>
      <c r="K52" s="109"/>
    </row>
    <row r="53" s="35" customFormat="1" outlineLevel="1" spans="1:11">
      <c r="A53" s="86"/>
      <c r="B53" s="95"/>
      <c r="C53" s="95"/>
      <c r="D53" s="88"/>
      <c r="E53" s="79"/>
      <c r="F53" s="79"/>
      <c r="G53" s="89"/>
      <c r="H53" s="79"/>
      <c r="I53" s="88"/>
      <c r="J53" s="108"/>
      <c r="K53" s="109"/>
    </row>
    <row r="54" s="35" customFormat="1" outlineLevel="1" spans="1:11">
      <c r="A54" s="86"/>
      <c r="B54" s="95"/>
      <c r="C54" s="95"/>
      <c r="D54" s="88"/>
      <c r="E54" s="79"/>
      <c r="F54" s="79"/>
      <c r="G54" s="89"/>
      <c r="H54" s="79"/>
      <c r="I54" s="88"/>
      <c r="J54" s="108"/>
      <c r="K54" s="109"/>
    </row>
    <row r="55" s="35" customFormat="1" outlineLevel="1" spans="1:11">
      <c r="A55" s="86"/>
      <c r="B55" s="95"/>
      <c r="C55" s="95"/>
      <c r="D55" s="88"/>
      <c r="E55" s="79"/>
      <c r="F55" s="79"/>
      <c r="G55" s="89"/>
      <c r="H55" s="79"/>
      <c r="I55" s="88"/>
      <c r="J55" s="108"/>
      <c r="K55" s="109"/>
    </row>
    <row r="56" s="35" customFormat="1" outlineLevel="1" spans="1:11">
      <c r="A56" s="90" t="s">
        <v>179</v>
      </c>
      <c r="B56" s="91"/>
      <c r="C56" s="91"/>
      <c r="D56" s="79"/>
      <c r="E56" s="79"/>
      <c r="F56" s="79"/>
      <c r="G56" s="79"/>
      <c r="H56" s="79"/>
      <c r="I56" s="79"/>
      <c r="J56" s="79"/>
      <c r="K56" s="106"/>
    </row>
    <row r="57" s="35" customFormat="1" ht="63.75" customHeight="1" outlineLevel="1" spans="1:11">
      <c r="A57" s="80" t="s">
        <v>180</v>
      </c>
      <c r="B57" s="96" t="s">
        <v>181</v>
      </c>
      <c r="C57" s="82" t="s">
        <v>182</v>
      </c>
      <c r="D57" s="94" t="s">
        <v>183</v>
      </c>
      <c r="E57" s="97"/>
      <c r="F57" s="97"/>
      <c r="G57" s="85"/>
      <c r="H57" s="84"/>
      <c r="I57" s="83"/>
      <c r="J57" s="82" t="s">
        <v>31</v>
      </c>
      <c r="K57" s="82"/>
    </row>
    <row r="58" s="35" customFormat="1" ht="63.75" customHeight="1" outlineLevel="1" spans="1:11">
      <c r="A58" s="80" t="s">
        <v>184</v>
      </c>
      <c r="B58" s="96" t="s">
        <v>185</v>
      </c>
      <c r="C58" s="82" t="s">
        <v>186</v>
      </c>
      <c r="D58" s="94" t="s">
        <v>187</v>
      </c>
      <c r="E58" s="97"/>
      <c r="F58" s="97"/>
      <c r="G58" s="85"/>
      <c r="H58" s="84"/>
      <c r="I58" s="83"/>
      <c r="J58" s="82" t="s">
        <v>31</v>
      </c>
      <c r="K58" s="82"/>
    </row>
    <row r="59" s="35" customFormat="1" ht="63.75" customHeight="1" outlineLevel="1" spans="1:11">
      <c r="A59" s="80" t="s">
        <v>188</v>
      </c>
      <c r="B59" s="96" t="s">
        <v>189</v>
      </c>
      <c r="C59" s="82" t="s">
        <v>190</v>
      </c>
      <c r="D59" s="94" t="s">
        <v>191</v>
      </c>
      <c r="E59" s="97"/>
      <c r="F59" s="97"/>
      <c r="G59" s="85"/>
      <c r="H59" s="84"/>
      <c r="I59" s="83"/>
      <c r="J59" s="82" t="s">
        <v>31</v>
      </c>
      <c r="K59" s="82"/>
    </row>
    <row r="60" s="35" customFormat="1" ht="63.75" customHeight="1" outlineLevel="1" spans="1:11">
      <c r="A60" s="80" t="s">
        <v>192</v>
      </c>
      <c r="B60" s="96" t="s">
        <v>193</v>
      </c>
      <c r="C60" s="82" t="s">
        <v>194</v>
      </c>
      <c r="D60" s="94" t="s">
        <v>195</v>
      </c>
      <c r="E60" s="97"/>
      <c r="F60" s="97"/>
      <c r="G60" s="85"/>
      <c r="H60" s="84"/>
      <c r="I60" s="83"/>
      <c r="J60" s="82" t="s">
        <v>31</v>
      </c>
      <c r="K60" s="82"/>
    </row>
    <row r="61" s="35" customFormat="1" ht="63.75" customHeight="1" outlineLevel="1" spans="1:11">
      <c r="A61" s="80" t="s">
        <v>196</v>
      </c>
      <c r="B61" s="96" t="s">
        <v>197</v>
      </c>
      <c r="C61" s="82" t="s">
        <v>198</v>
      </c>
      <c r="D61" s="94" t="s">
        <v>199</v>
      </c>
      <c r="E61" s="97"/>
      <c r="F61" s="97"/>
      <c r="G61" s="85"/>
      <c r="H61" s="84"/>
      <c r="I61" s="83"/>
      <c r="J61" s="82" t="s">
        <v>31</v>
      </c>
      <c r="K61" s="82"/>
    </row>
    <row r="62" s="35" customFormat="1" ht="63.75" customHeight="1" outlineLevel="1" spans="1:11">
      <c r="A62" s="80" t="s">
        <v>200</v>
      </c>
      <c r="B62" s="96" t="s">
        <v>201</v>
      </c>
      <c r="C62" s="82" t="s">
        <v>202</v>
      </c>
      <c r="D62" s="94" t="s">
        <v>203</v>
      </c>
      <c r="E62" s="97"/>
      <c r="F62" s="97"/>
      <c r="G62" s="85"/>
      <c r="H62" s="84"/>
      <c r="I62" s="83"/>
      <c r="J62" s="82" t="s">
        <v>31</v>
      </c>
      <c r="K62" s="82"/>
    </row>
    <row r="63" s="35" customFormat="1" ht="63.75" customHeight="1" outlineLevel="1" spans="1:11">
      <c r="A63" s="80" t="s">
        <v>204</v>
      </c>
      <c r="B63" s="96" t="s">
        <v>205</v>
      </c>
      <c r="C63" s="82" t="s">
        <v>206</v>
      </c>
      <c r="D63" s="94" t="s">
        <v>207</v>
      </c>
      <c r="E63" s="97"/>
      <c r="F63" s="97"/>
      <c r="G63" s="85"/>
      <c r="H63" s="84"/>
      <c r="I63" s="83"/>
      <c r="J63" s="82" t="s">
        <v>31</v>
      </c>
      <c r="K63" s="82"/>
    </row>
    <row r="64" s="35" customFormat="1" ht="63.75" customHeight="1" outlineLevel="1" spans="1:11">
      <c r="A64" s="80" t="s">
        <v>208</v>
      </c>
      <c r="B64" s="96" t="s">
        <v>209</v>
      </c>
      <c r="C64" s="82" t="s">
        <v>210</v>
      </c>
      <c r="D64" s="94" t="s">
        <v>211</v>
      </c>
      <c r="E64" s="97"/>
      <c r="F64" s="97"/>
      <c r="G64" s="85"/>
      <c r="H64" s="84"/>
      <c r="I64" s="83"/>
      <c r="J64" s="82" t="s">
        <v>31</v>
      </c>
      <c r="K64" s="82"/>
    </row>
    <row r="65" s="35" customFormat="1" ht="63.75" customHeight="1" outlineLevel="1" spans="1:11">
      <c r="A65" s="80" t="s">
        <v>212</v>
      </c>
      <c r="B65" s="96" t="s">
        <v>213</v>
      </c>
      <c r="C65" s="82" t="s">
        <v>214</v>
      </c>
      <c r="D65" s="94" t="s">
        <v>215</v>
      </c>
      <c r="E65" s="97"/>
      <c r="F65" s="97"/>
      <c r="G65" s="85"/>
      <c r="H65" s="84"/>
      <c r="I65" s="83"/>
      <c r="J65" s="82" t="s">
        <v>31</v>
      </c>
      <c r="K65" s="82"/>
    </row>
    <row r="66" s="35" customFormat="1" ht="63.75" customHeight="1" outlineLevel="1" spans="1:11">
      <c r="A66" s="80" t="s">
        <v>216</v>
      </c>
      <c r="B66" s="96" t="s">
        <v>217</v>
      </c>
      <c r="C66" s="82" t="s">
        <v>218</v>
      </c>
      <c r="D66" s="94" t="s">
        <v>219</v>
      </c>
      <c r="E66" s="97"/>
      <c r="F66" s="97"/>
      <c r="G66" s="85"/>
      <c r="H66" s="84"/>
      <c r="I66" s="83"/>
      <c r="J66" s="82" t="s">
        <v>31</v>
      </c>
      <c r="K66" s="82"/>
    </row>
    <row r="67" s="35" customFormat="1" ht="63.75" customHeight="1" outlineLevel="1" spans="1:11">
      <c r="A67" s="80" t="s">
        <v>220</v>
      </c>
      <c r="B67" s="96" t="s">
        <v>221</v>
      </c>
      <c r="C67" s="82" t="s">
        <v>222</v>
      </c>
      <c r="D67" s="94" t="s">
        <v>223</v>
      </c>
      <c r="E67" s="97"/>
      <c r="F67" s="97"/>
      <c r="G67" s="85"/>
      <c r="H67" s="84"/>
      <c r="I67" s="83"/>
      <c r="J67" s="82" t="s">
        <v>31</v>
      </c>
      <c r="K67" s="82"/>
    </row>
    <row r="68" s="35" customFormat="1" ht="63.75" customHeight="1" outlineLevel="1" spans="1:11">
      <c r="A68" s="80" t="s">
        <v>224</v>
      </c>
      <c r="B68" s="96" t="s">
        <v>225</v>
      </c>
      <c r="C68" s="82" t="s">
        <v>226</v>
      </c>
      <c r="D68" s="94" t="s">
        <v>227</v>
      </c>
      <c r="E68" s="97"/>
      <c r="F68" s="97"/>
      <c r="G68" s="85"/>
      <c r="H68" s="84"/>
      <c r="I68" s="83"/>
      <c r="J68" s="82" t="s">
        <v>31</v>
      </c>
      <c r="K68" s="82"/>
    </row>
    <row r="69" s="35" customFormat="1" ht="63.75" customHeight="1" outlineLevel="1" spans="1:11">
      <c r="A69" s="80" t="s">
        <v>228</v>
      </c>
      <c r="B69" s="96" t="s">
        <v>229</v>
      </c>
      <c r="C69" s="82" t="s">
        <v>230</v>
      </c>
      <c r="D69" s="94" t="s">
        <v>231</v>
      </c>
      <c r="E69" s="97"/>
      <c r="F69" s="97"/>
      <c r="G69" s="85"/>
      <c r="H69" s="84"/>
      <c r="I69" s="83"/>
      <c r="J69" s="82" t="s">
        <v>31</v>
      </c>
      <c r="K69" s="82"/>
    </row>
    <row r="70" s="35" customFormat="1" ht="63.75" customHeight="1" outlineLevel="1" spans="1:11">
      <c r="A70" s="80" t="s">
        <v>232</v>
      </c>
      <c r="B70" s="96" t="s">
        <v>233</v>
      </c>
      <c r="C70" s="82" t="s">
        <v>234</v>
      </c>
      <c r="D70" s="94" t="s">
        <v>235</v>
      </c>
      <c r="E70" s="97"/>
      <c r="F70" s="97"/>
      <c r="G70" s="85"/>
      <c r="H70" s="84"/>
      <c r="I70" s="83"/>
      <c r="J70" s="82" t="s">
        <v>31</v>
      </c>
      <c r="K70" s="82"/>
    </row>
    <row r="71" s="35" customFormat="1" ht="63.75" customHeight="1" outlineLevel="1" spans="1:11">
      <c r="A71" s="80" t="s">
        <v>236</v>
      </c>
      <c r="B71" s="96" t="s">
        <v>237</v>
      </c>
      <c r="C71" s="82" t="s">
        <v>238</v>
      </c>
      <c r="D71" s="94" t="s">
        <v>239</v>
      </c>
      <c r="E71" s="97"/>
      <c r="F71" s="97"/>
      <c r="G71" s="85"/>
      <c r="H71" s="84"/>
      <c r="I71" s="83"/>
      <c r="J71" s="82" t="s">
        <v>31</v>
      </c>
      <c r="K71" s="82"/>
    </row>
    <row r="72" s="35" customFormat="1" ht="63.75" customHeight="1" outlineLevel="1" spans="1:11">
      <c r="A72" s="80" t="s">
        <v>240</v>
      </c>
      <c r="B72" s="96" t="s">
        <v>241</v>
      </c>
      <c r="C72" s="82" t="s">
        <v>242</v>
      </c>
      <c r="D72" s="94" t="s">
        <v>243</v>
      </c>
      <c r="E72" s="97"/>
      <c r="F72" s="97"/>
      <c r="G72" s="85"/>
      <c r="H72" s="84"/>
      <c r="I72" s="83"/>
      <c r="J72" s="82" t="s">
        <v>31</v>
      </c>
      <c r="K72" s="82"/>
    </row>
    <row r="73" s="35" customFormat="1" ht="63.75" customHeight="1" outlineLevel="1" spans="1:11">
      <c r="A73" s="80" t="s">
        <v>244</v>
      </c>
      <c r="B73" s="96" t="s">
        <v>245</v>
      </c>
      <c r="C73" s="82" t="s">
        <v>246</v>
      </c>
      <c r="D73" s="94" t="s">
        <v>247</v>
      </c>
      <c r="E73" s="97"/>
      <c r="F73" s="97"/>
      <c r="G73" s="85"/>
      <c r="H73" s="84"/>
      <c r="I73" s="83"/>
      <c r="J73" s="82" t="s">
        <v>31</v>
      </c>
      <c r="K73" s="82"/>
    </row>
    <row r="74" s="35" customFormat="1" ht="63.75" customHeight="1" outlineLevel="1" spans="1:11">
      <c r="A74" s="80" t="s">
        <v>248</v>
      </c>
      <c r="B74" s="96" t="s">
        <v>249</v>
      </c>
      <c r="C74" s="82" t="s">
        <v>250</v>
      </c>
      <c r="D74" s="94" t="s">
        <v>251</v>
      </c>
      <c r="E74" s="97"/>
      <c r="F74" s="97"/>
      <c r="G74" s="85"/>
      <c r="H74" s="84"/>
      <c r="I74" s="83"/>
      <c r="J74" s="82" t="s">
        <v>31</v>
      </c>
      <c r="K74" s="82"/>
    </row>
    <row r="75" s="35" customFormat="1" ht="63.75" customHeight="1" outlineLevel="1" spans="1:11">
      <c r="A75" s="80" t="s">
        <v>252</v>
      </c>
      <c r="B75" s="96" t="s">
        <v>253</v>
      </c>
      <c r="C75" s="82" t="s">
        <v>254</v>
      </c>
      <c r="D75" s="94" t="s">
        <v>243</v>
      </c>
      <c r="E75" s="97"/>
      <c r="F75" s="97"/>
      <c r="G75" s="85"/>
      <c r="H75" s="84"/>
      <c r="I75" s="83"/>
      <c r="J75" s="82" t="s">
        <v>31</v>
      </c>
      <c r="K75" s="82"/>
    </row>
    <row r="76" s="35" customFormat="1" ht="63.75" customHeight="1" outlineLevel="1" spans="1:11">
      <c r="A76" s="80" t="s">
        <v>255</v>
      </c>
      <c r="B76" s="96" t="s">
        <v>256</v>
      </c>
      <c r="C76" s="82" t="s">
        <v>257</v>
      </c>
      <c r="D76" s="94" t="s">
        <v>258</v>
      </c>
      <c r="E76" s="97"/>
      <c r="F76" s="97"/>
      <c r="G76" s="85"/>
      <c r="H76" s="84"/>
      <c r="I76" s="83"/>
      <c r="J76" s="82" t="s">
        <v>31</v>
      </c>
      <c r="K76" s="82"/>
    </row>
    <row r="77" s="35" customFormat="1" ht="63.75" customHeight="1" outlineLevel="1" spans="1:11">
      <c r="A77" s="80" t="s">
        <v>259</v>
      </c>
      <c r="B77" s="96" t="s">
        <v>260</v>
      </c>
      <c r="C77" s="82" t="s">
        <v>261</v>
      </c>
      <c r="D77" s="94" t="s">
        <v>262</v>
      </c>
      <c r="E77" s="97"/>
      <c r="F77" s="97"/>
      <c r="G77" s="85"/>
      <c r="H77" s="84"/>
      <c r="I77" s="83"/>
      <c r="J77" s="82" t="s">
        <v>31</v>
      </c>
      <c r="K77" s="82"/>
    </row>
    <row r="78" s="35" customFormat="1" ht="63.75" customHeight="1" outlineLevel="1" spans="1:11">
      <c r="A78" s="80" t="s">
        <v>263</v>
      </c>
      <c r="B78" s="96" t="s">
        <v>264</v>
      </c>
      <c r="C78" s="82" t="s">
        <v>265</v>
      </c>
      <c r="D78" s="94" t="s">
        <v>266</v>
      </c>
      <c r="E78" s="97"/>
      <c r="F78" s="97"/>
      <c r="G78" s="85"/>
      <c r="H78" s="84"/>
      <c r="I78" s="83"/>
      <c r="J78" s="82" t="s">
        <v>31</v>
      </c>
      <c r="K78" s="82"/>
    </row>
    <row r="79" s="35" customFormat="1" ht="63.75" customHeight="1" outlineLevel="1" spans="1:11">
      <c r="A79" s="80" t="s">
        <v>267</v>
      </c>
      <c r="B79" s="96" t="s">
        <v>268</v>
      </c>
      <c r="C79" s="82" t="s">
        <v>269</v>
      </c>
      <c r="D79" s="94" t="s">
        <v>270</v>
      </c>
      <c r="E79" s="97"/>
      <c r="F79" s="97"/>
      <c r="G79" s="85"/>
      <c r="H79" s="84"/>
      <c r="I79" s="83"/>
      <c r="J79" s="82" t="s">
        <v>31</v>
      </c>
      <c r="K79" s="82"/>
    </row>
    <row r="80" s="35" customFormat="1" ht="63.75" customHeight="1" outlineLevel="1" spans="1:11">
      <c r="A80" s="80" t="s">
        <v>271</v>
      </c>
      <c r="B80" s="96" t="s">
        <v>272</v>
      </c>
      <c r="C80" s="82" t="s">
        <v>273</v>
      </c>
      <c r="D80" s="94" t="s">
        <v>274</v>
      </c>
      <c r="E80" s="97"/>
      <c r="F80" s="97"/>
      <c r="G80" s="85"/>
      <c r="H80" s="84"/>
      <c r="I80" s="83"/>
      <c r="J80" s="82" t="s">
        <v>31</v>
      </c>
      <c r="K80" s="82"/>
    </row>
    <row r="81" s="35" customFormat="1" ht="63.75" customHeight="1" outlineLevel="1" spans="1:11">
      <c r="A81" s="80" t="s">
        <v>275</v>
      </c>
      <c r="B81" s="96" t="s">
        <v>276</v>
      </c>
      <c r="C81" s="82" t="s">
        <v>277</v>
      </c>
      <c r="D81" s="94" t="s">
        <v>278</v>
      </c>
      <c r="E81" s="97"/>
      <c r="F81" s="97"/>
      <c r="G81" s="85"/>
      <c r="H81" s="84"/>
      <c r="I81" s="83"/>
      <c r="J81" s="82" t="s">
        <v>31</v>
      </c>
      <c r="K81" s="82"/>
    </row>
    <row r="82" s="35" customFormat="1" ht="63.75" customHeight="1" outlineLevel="1" spans="1:11">
      <c r="A82" s="80" t="s">
        <v>279</v>
      </c>
      <c r="B82" s="96" t="s">
        <v>280</v>
      </c>
      <c r="C82" s="82" t="s">
        <v>281</v>
      </c>
      <c r="D82" s="94" t="s">
        <v>282</v>
      </c>
      <c r="E82" s="97"/>
      <c r="F82" s="97"/>
      <c r="G82" s="85"/>
      <c r="H82" s="84"/>
      <c r="I82" s="83"/>
      <c r="J82" s="82" t="s">
        <v>31</v>
      </c>
      <c r="K82" s="82"/>
    </row>
    <row r="83" s="35" customFormat="1" ht="63.75" customHeight="1" outlineLevel="1" spans="1:11">
      <c r="A83" s="80" t="s">
        <v>283</v>
      </c>
      <c r="B83" s="96" t="s">
        <v>284</v>
      </c>
      <c r="C83" s="82" t="s">
        <v>285</v>
      </c>
      <c r="D83" s="94" t="s">
        <v>286</v>
      </c>
      <c r="E83" s="97"/>
      <c r="F83" s="97"/>
      <c r="G83" s="85"/>
      <c r="H83" s="84"/>
      <c r="I83" s="83"/>
      <c r="J83" s="82" t="s">
        <v>31</v>
      </c>
      <c r="K83" s="82"/>
    </row>
    <row r="84" s="35" customFormat="1" ht="63.75" customHeight="1" outlineLevel="1" spans="1:11">
      <c r="A84" s="80" t="s">
        <v>287</v>
      </c>
      <c r="B84" s="96" t="s">
        <v>288</v>
      </c>
      <c r="C84" s="82" t="s">
        <v>289</v>
      </c>
      <c r="D84" s="94" t="s">
        <v>290</v>
      </c>
      <c r="E84" s="97"/>
      <c r="F84" s="97"/>
      <c r="G84" s="85"/>
      <c r="H84" s="84"/>
      <c r="I84" s="83"/>
      <c r="J84" s="82" t="s">
        <v>31</v>
      </c>
      <c r="K84" s="82"/>
    </row>
    <row r="85" s="35" customFormat="1" ht="63.75" customHeight="1" outlineLevel="1" spans="1:11">
      <c r="A85" s="80" t="s">
        <v>291</v>
      </c>
      <c r="B85" s="96" t="s">
        <v>292</v>
      </c>
      <c r="C85" s="82" t="s">
        <v>293</v>
      </c>
      <c r="D85" s="94" t="s">
        <v>294</v>
      </c>
      <c r="E85" s="97"/>
      <c r="F85" s="97"/>
      <c r="G85" s="85"/>
      <c r="H85" s="84"/>
      <c r="I85" s="83"/>
      <c r="J85" s="82" t="s">
        <v>31</v>
      </c>
      <c r="K85" s="82"/>
    </row>
    <row r="86" s="35" customFormat="1" ht="63.75" customHeight="1" outlineLevel="1" spans="1:11">
      <c r="A86" s="80" t="s">
        <v>295</v>
      </c>
      <c r="B86" s="96" t="s">
        <v>296</v>
      </c>
      <c r="C86" s="82" t="s">
        <v>297</v>
      </c>
      <c r="D86" s="94" t="s">
        <v>298</v>
      </c>
      <c r="E86" s="97"/>
      <c r="F86" s="97"/>
      <c r="G86" s="85"/>
      <c r="H86" s="84"/>
      <c r="I86" s="83"/>
      <c r="J86" s="82" t="s">
        <v>31</v>
      </c>
      <c r="K86" s="82"/>
    </row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</sheetData>
  <mergeCells count="86">
    <mergeCell ref="B3:D3"/>
    <mergeCell ref="I3:K3"/>
    <mergeCell ref="B4:D4"/>
    <mergeCell ref="I4:K4"/>
    <mergeCell ref="B5:D5"/>
    <mergeCell ref="I5:K5"/>
    <mergeCell ref="I6:K6"/>
    <mergeCell ref="I7:K7"/>
    <mergeCell ref="A8:D8"/>
    <mergeCell ref="A11:K11"/>
    <mergeCell ref="A12:K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A27:C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A56:C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A9:A10"/>
    <mergeCell ref="B9:B10"/>
    <mergeCell ref="C9:C10"/>
    <mergeCell ref="H9:H10"/>
    <mergeCell ref="I9:I10"/>
    <mergeCell ref="J9:J10"/>
    <mergeCell ref="K9:K10"/>
    <mergeCell ref="B1:D2"/>
    <mergeCell ref="D9:G10"/>
  </mergeCells>
  <pageMargins left="0.75" right="0.75" top="1" bottom="1" header="0.5" footer="0.5"/>
  <pageSetup paperSize="1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C4" sqref="C4"/>
    </sheetView>
  </sheetViews>
  <sheetFormatPr defaultColWidth="8.83333333333333" defaultRowHeight="13.2" outlineLevelCol="6"/>
  <cols>
    <col min="3" max="3" width="22.8333333333333" customWidth="1"/>
    <col min="7" max="7" width="18.8333333333333" customWidth="1"/>
  </cols>
  <sheetData>
    <row r="1" ht="22.2" spans="1:7">
      <c r="A1" s="2" t="s">
        <v>299</v>
      </c>
      <c r="B1" s="3"/>
      <c r="C1" s="4"/>
      <c r="D1" s="4"/>
      <c r="E1" s="4"/>
      <c r="F1" s="4"/>
      <c r="G1" s="5"/>
    </row>
    <row r="2" ht="14.25" customHeight="1" spans="1:7">
      <c r="A2" s="2"/>
      <c r="B2" s="3"/>
      <c r="C2" s="4"/>
      <c r="D2" s="4"/>
      <c r="E2" s="4"/>
      <c r="F2" s="4"/>
      <c r="G2" s="5"/>
    </row>
    <row r="3" spans="2:7">
      <c r="B3" s="6" t="s">
        <v>300</v>
      </c>
      <c r="C3" s="4"/>
      <c r="D3" s="4"/>
      <c r="E3" s="4"/>
      <c r="F3" s="4"/>
      <c r="G3" s="5"/>
    </row>
    <row r="4" spans="2:7">
      <c r="B4" s="6" t="s">
        <v>301</v>
      </c>
      <c r="C4" s="7"/>
      <c r="D4" s="6"/>
      <c r="E4" s="6"/>
      <c r="F4" s="6"/>
      <c r="G4" s="6"/>
    </row>
    <row r="5" spans="1:7">
      <c r="A5" s="6"/>
      <c r="B5" s="6"/>
      <c r="C5" s="6"/>
      <c r="D5" s="6"/>
      <c r="E5" s="6"/>
      <c r="F5" s="6"/>
      <c r="G5" s="6"/>
    </row>
    <row r="6" spans="1:7">
      <c r="A6" s="6"/>
      <c r="B6" s="6"/>
      <c r="C6" s="6"/>
      <c r="D6" s="6"/>
      <c r="E6" s="6"/>
      <c r="F6" s="6"/>
      <c r="G6" s="6"/>
    </row>
    <row r="7" ht="26.4" spans="1:7">
      <c r="A7" s="6"/>
      <c r="B7" s="8" t="s">
        <v>302</v>
      </c>
      <c r="C7" s="9" t="s">
        <v>303</v>
      </c>
      <c r="D7" s="10" t="s">
        <v>31</v>
      </c>
      <c r="E7" s="9" t="s">
        <v>33</v>
      </c>
      <c r="F7" s="9" t="s">
        <v>32</v>
      </c>
      <c r="G7" s="11" t="s">
        <v>304</v>
      </c>
    </row>
    <row r="8" s="1" customFormat="1" spans="1:7">
      <c r="A8" s="12"/>
      <c r="B8" s="13">
        <v>1</v>
      </c>
      <c r="C8" s="14" t="str">
        <f>Samples!B4</f>
        <v>CR100 - Export to excel</v>
      </c>
      <c r="D8" s="15">
        <f>Samples!B6</f>
        <v>35</v>
      </c>
      <c r="E8" s="14">
        <f>Samples!B7</f>
        <v>0</v>
      </c>
      <c r="F8" s="14">
        <f>Samples!D6</f>
        <v>0</v>
      </c>
      <c r="G8" s="15">
        <f>Samples!D7</f>
        <v>23</v>
      </c>
    </row>
    <row r="9" spans="1:7">
      <c r="A9" s="6"/>
      <c r="B9" s="16"/>
      <c r="C9" s="17"/>
      <c r="D9" s="18"/>
      <c r="E9" s="19"/>
      <c r="F9" s="19"/>
      <c r="G9" s="20"/>
    </row>
    <row r="10" spans="1:7">
      <c r="A10" s="6"/>
      <c r="B10" s="21"/>
      <c r="C10" s="22" t="s">
        <v>305</v>
      </c>
      <c r="D10" s="23">
        <f>SUM(D6:D9)</f>
        <v>35</v>
      </c>
      <c r="E10" s="23">
        <f>SUM(E6:E9)</f>
        <v>0</v>
      </c>
      <c r="F10" s="23">
        <f>SUM(F6:F9)</f>
        <v>0</v>
      </c>
      <c r="G10" s="24">
        <f>SUM(G6:G9)</f>
        <v>23</v>
      </c>
    </row>
    <row r="11" spans="1:7">
      <c r="A11" s="6"/>
      <c r="B11" s="25"/>
      <c r="C11" s="6"/>
      <c r="D11" s="26"/>
      <c r="E11" s="27"/>
      <c r="F11" s="27"/>
      <c r="G11" s="27"/>
    </row>
    <row r="12" spans="1:7">
      <c r="A12" s="6"/>
      <c r="B12" s="6"/>
      <c r="C12" s="6" t="s">
        <v>306</v>
      </c>
      <c r="D12" s="6"/>
      <c r="E12" s="28">
        <f>(D10+E10)*100/G10</f>
        <v>152.173913043478</v>
      </c>
      <c r="F12" s="6" t="s">
        <v>307</v>
      </c>
      <c r="G12" s="29"/>
    </row>
    <row r="13" spans="1:7">
      <c r="A13" s="6"/>
      <c r="B13" s="6"/>
      <c r="C13" s="6" t="s">
        <v>308</v>
      </c>
      <c r="D13" s="6"/>
      <c r="E13" s="28">
        <f>D10*100/G10</f>
        <v>152.173913043478</v>
      </c>
      <c r="F13" s="6" t="s">
        <v>307</v>
      </c>
      <c r="G13" s="29"/>
    </row>
  </sheetData>
  <pageMargins left="0.75" right="0.75" top="1" bottom="1" header="0.5" footer="0.5"/>
  <pageSetup paperSize="1" orientation="landscape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Cover</vt:lpstr>
      <vt:lpstr>Samples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lenovo</cp:lastModifiedBy>
  <dcterms:created xsi:type="dcterms:W3CDTF">2002-07-27T17:17:00Z</dcterms:created>
  <cp:lastPrinted>2006-08-02T10:15:00Z</cp:lastPrinted>
  <dcterms:modified xsi:type="dcterms:W3CDTF">2026-04-19T16:22:56Z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  <property fmtid="{D5CDD505-2E9C-101B-9397-08002B2CF9AE}" pid="3" name="ICV">
    <vt:lpwstr>1F2135315BAC4EC6AA6FB7A8482DC15C_13</vt:lpwstr>
  </property>
  <property fmtid="{D5CDD505-2E9C-101B-9397-08002B2CF9AE}" pid="4" name="KSOProductBuildVer">
    <vt:lpwstr>1033-12.9.0.21549</vt:lpwstr>
  </property>
</Properties>
</file>